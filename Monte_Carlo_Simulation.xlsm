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Excel\MonteCarloSimulation\"/>
    </mc:Choice>
  </mc:AlternateContent>
  <xr:revisionPtr revIDLastSave="0" documentId="13_ncr:1_{FCA87F02-31A7-4D53-A03B-A6251C2A5EC7}" xr6:coauthVersionLast="44" xr6:coauthVersionMax="44" xr10:uidLastSave="{00000000-0000-0000-0000-000000000000}"/>
  <bookViews>
    <workbookView xWindow="-110" yWindow="-110" windowWidth="19420" windowHeight="10420" activeTab="1" xr2:uid="{DE859300-DE49-440A-A69C-04F88591CA96}"/>
  </bookViews>
  <sheets>
    <sheet name="Forecast" sheetId="2" r:id="rId1"/>
    <sheet name="MonteCarlo" sheetId="1" r:id="rId2"/>
  </sheets>
  <definedNames>
    <definedName name="Betreu_Mw">MonteCarlo!$D$8</definedName>
    <definedName name="Betreu_Sd">MonteCarlo!$E$8</definedName>
    <definedName name="Mat_Mw">MonteCarlo!$D$6</definedName>
    <definedName name="Mat_Sd">MonteCarlo!$E$6</definedName>
    <definedName name="UGA_Mw">MonteCarlo!$D$7</definedName>
    <definedName name="UGA_Sd">MonteCarlo!$E$7</definedName>
    <definedName name="Ziehanzahl">MonteCarlo!$C$10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3" i="2" l="1"/>
  <c r="Q13" i="2"/>
  <c r="R13" i="2"/>
  <c r="S13" i="2"/>
  <c r="T13" i="2"/>
  <c r="O13" i="2"/>
  <c r="E19" i="1" l="1"/>
  <c r="E18" i="1"/>
  <c r="P25" i="2" l="1"/>
  <c r="Q25" i="2" s="1"/>
  <c r="R25" i="2" s="1"/>
  <c r="S25" i="2" s="1"/>
  <c r="T25" i="2" s="1"/>
  <c r="T29" i="2"/>
  <c r="P29" i="2"/>
  <c r="Q29" i="2"/>
  <c r="R29" i="2"/>
  <c r="S29" i="2"/>
  <c r="O29" i="2"/>
  <c r="P11" i="2"/>
  <c r="Q11" i="2" s="1"/>
  <c r="R11" i="2" s="1"/>
  <c r="S11" i="2" s="1"/>
  <c r="T11" i="2" s="1"/>
  <c r="O12" i="2"/>
  <c r="O16" i="2" s="1"/>
  <c r="O17" i="2" l="1"/>
  <c r="O18" i="2" s="1"/>
  <c r="O22" i="2" s="1"/>
  <c r="O24" i="2" s="1"/>
  <c r="O26" i="2" s="1"/>
  <c r="P12" i="2"/>
  <c r="P16" i="2" s="1"/>
  <c r="P17" i="2" l="1"/>
  <c r="P18" i="2" s="1"/>
  <c r="P22" i="2" s="1"/>
  <c r="P24" i="2" s="1"/>
  <c r="P26" i="2" s="1"/>
  <c r="O28" i="2"/>
  <c r="O30" i="2" s="1"/>
  <c r="Q12" i="2"/>
  <c r="R12" i="2" s="1"/>
  <c r="P28" i="2" l="1"/>
  <c r="P30" i="2" s="1"/>
  <c r="Q16" i="2"/>
  <c r="S12" i="2"/>
  <c r="R16" i="2"/>
  <c r="C8" i="1"/>
  <c r="C7" i="1"/>
  <c r="C6" i="1"/>
  <c r="N74" i="1" a="1"/>
  <c r="N74" i="1" s="1"/>
  <c r="Q17" i="2" l="1"/>
  <c r="Q18" i="2" s="1"/>
  <c r="Q22" i="2" s="1"/>
  <c r="Q24" i="2" s="1"/>
  <c r="Q26" i="2" s="1"/>
  <c r="R17" i="2"/>
  <c r="R18" i="2" s="1"/>
  <c r="R22" i="2" s="1"/>
  <c r="R24" i="2" s="1"/>
  <c r="R26" i="2" s="1"/>
  <c r="T12" i="2"/>
  <c r="T16" i="2" s="1"/>
  <c r="S16" i="2"/>
  <c r="N75" i="1"/>
  <c r="N77" i="1" s="1"/>
  <c r="O74" i="1" s="1"/>
  <c r="Q28" i="2" l="1"/>
  <c r="Q30" i="2" s="1"/>
  <c r="T17" i="2"/>
  <c r="T18" i="2" s="1"/>
  <c r="T22" i="2" s="1"/>
  <c r="T24" i="2" s="1"/>
  <c r="T26" i="2" s="1"/>
  <c r="R28" i="2"/>
  <c r="R30" i="2" s="1"/>
  <c r="S17" i="2"/>
  <c r="S18" i="2" s="1"/>
  <c r="S22" i="2" s="1"/>
  <c r="S24" i="2" s="1"/>
  <c r="S26" i="2" s="1"/>
  <c r="O75" i="1"/>
  <c r="O77" i="1" s="1"/>
  <c r="E24" i="1"/>
  <c r="E20" i="1"/>
  <c r="M43" i="1" s="1"/>
  <c r="G7" i="1"/>
  <c r="G8" i="1"/>
  <c r="G6" i="1"/>
  <c r="F7" i="1"/>
  <c r="F8" i="1"/>
  <c r="F6" i="1"/>
  <c r="T28" i="2" l="1"/>
  <c r="T30" i="2" s="1"/>
  <c r="S28" i="2"/>
  <c r="S30" i="2" s="1"/>
  <c r="M64" i="1"/>
  <c r="M44" i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42" i="1"/>
  <c r="M41" i="1" s="1"/>
  <c r="M40" i="1" s="1"/>
  <c r="M39" i="1" s="1"/>
  <c r="M38" i="1" s="1"/>
  <c r="M37" i="1" s="1"/>
  <c r="M36" i="1" s="1"/>
  <c r="M35" i="1" s="1"/>
  <c r="M34" i="1" s="1"/>
  <c r="M33" i="1" s="1"/>
  <c r="O32" i="2" l="1"/>
  <c r="N33" i="1" a="1"/>
  <c r="N33" i="1" s="1"/>
  <c r="M65" i="1"/>
  <c r="M63" i="1"/>
  <c r="O8" i="2" l="1"/>
  <c r="D23" i="1"/>
  <c r="N40" i="1"/>
  <c r="N46" i="1"/>
  <c r="N49" i="1"/>
  <c r="N41" i="1"/>
  <c r="N52" i="1"/>
  <c r="N54" i="1"/>
  <c r="N48" i="1"/>
  <c r="N34" i="1"/>
  <c r="N53" i="1"/>
  <c r="N51" i="1"/>
  <c r="N38" i="1"/>
  <c r="N35" i="1"/>
  <c r="N43" i="1"/>
  <c r="N42" i="1"/>
  <c r="N39" i="1"/>
  <c r="N45" i="1"/>
  <c r="N55" i="1"/>
  <c r="N37" i="1"/>
  <c r="N44" i="1"/>
  <c r="N36" i="1"/>
  <c r="N50" i="1"/>
  <c r="N47" i="1"/>
  <c r="N63" i="1" a="1"/>
  <c r="N57" i="1" l="1"/>
  <c r="O48" i="1" s="1"/>
  <c r="N63" i="1"/>
  <c r="N64" i="1"/>
  <c r="N65" i="1"/>
  <c r="O40" i="1" l="1"/>
  <c r="O33" i="1"/>
  <c r="O53" i="1"/>
  <c r="O35" i="1"/>
  <c r="O43" i="1"/>
  <c r="O42" i="1"/>
  <c r="O39" i="1"/>
  <c r="O37" i="1"/>
  <c r="O45" i="1"/>
  <c r="O36" i="1"/>
  <c r="O55" i="1"/>
  <c r="O38" i="1"/>
  <c r="O52" i="1"/>
  <c r="O51" i="1"/>
  <c r="O50" i="1"/>
  <c r="O54" i="1"/>
  <c r="O49" i="1"/>
  <c r="O44" i="1"/>
  <c r="O41" i="1"/>
  <c r="O46" i="1"/>
  <c r="O34" i="1"/>
  <c r="O47" i="1"/>
  <c r="N67" i="1"/>
  <c r="O65" i="1" s="1"/>
  <c r="O57" i="1" l="1"/>
  <c r="O63" i="1"/>
  <c r="O64" i="1"/>
  <c r="E23" i="1" s="1"/>
  <c r="O6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10" authorId="0" shapeId="0" xr:uid="{ED2A302D-F5C9-4181-A372-CBE97DA644F2}">
      <text>
        <r>
          <rPr>
            <b/>
            <sz val="9"/>
            <color indexed="81"/>
            <rFont val="Segoe UI"/>
            <family val="2"/>
          </rPr>
          <t>User:</t>
        </r>
        <r>
          <rPr>
            <sz val="9"/>
            <color indexed="81"/>
            <rFont val="Segoe UI"/>
            <family val="2"/>
          </rPr>
          <t xml:space="preserve">
Iterationen</t>
        </r>
      </text>
    </comment>
    <comment ref="D10" authorId="0" shapeId="0" xr:uid="{C691A19F-302C-460D-9A81-B80AFD023410}">
      <text>
        <r>
          <rPr>
            <b/>
            <sz val="9"/>
            <color indexed="81"/>
            <rFont val="Segoe UI"/>
            <family val="2"/>
          </rPr>
          <t>User:</t>
        </r>
        <r>
          <rPr>
            <sz val="9"/>
            <color indexed="81"/>
            <rFont val="Segoe UI"/>
            <family val="2"/>
          </rPr>
          <t xml:space="preserve">
Anzahl der bereits gezogenen</t>
        </r>
      </text>
    </comment>
  </commentList>
</comments>
</file>

<file path=xl/sharedStrings.xml><?xml version="1.0" encoding="utf-8"?>
<sst xmlns="http://schemas.openxmlformats.org/spreadsheetml/2006/main" count="64" uniqueCount="52">
  <si>
    <t xml:space="preserve">Materialaufwandsquote </t>
  </si>
  <si>
    <t>Umsatz/Gast</t>
  </si>
  <si>
    <t xml:space="preserve">Betreuungsspanne </t>
  </si>
  <si>
    <t>Wert</t>
  </si>
  <si>
    <t>aktuell</t>
  </si>
  <si>
    <t>Mittelwert</t>
  </si>
  <si>
    <t>Standard-</t>
  </si>
  <si>
    <t xml:space="preserve">abweichung </t>
  </si>
  <si>
    <t>Intervall</t>
  </si>
  <si>
    <t>Min</t>
  </si>
  <si>
    <t>Max</t>
  </si>
  <si>
    <t>Ziehungen</t>
  </si>
  <si>
    <t>gezogen</t>
  </si>
  <si>
    <t xml:space="preserve">Ergebnisse </t>
  </si>
  <si>
    <t>Mio. €</t>
  </si>
  <si>
    <t xml:space="preserve">Bandbreite </t>
  </si>
  <si>
    <t>Anteil unter 0 Mio. €</t>
  </si>
  <si>
    <t>Materialaufwandsquote</t>
  </si>
  <si>
    <t>Material-aufwandsquote</t>
  </si>
  <si>
    <t>Betreuungs-spanne</t>
  </si>
  <si>
    <t>Unternehmens-wert</t>
  </si>
  <si>
    <t>Klassen</t>
  </si>
  <si>
    <t>Anzahl</t>
  </si>
  <si>
    <t xml:space="preserve">Anteil </t>
  </si>
  <si>
    <t xml:space="preserve">Klassen </t>
  </si>
  <si>
    <t>Anteil</t>
  </si>
  <si>
    <t xml:space="preserve">Monte Carlo-Analyse </t>
  </si>
  <si>
    <t>Unternehmenswert</t>
  </si>
  <si>
    <t>Gäste / Tag</t>
  </si>
  <si>
    <t>Umsatz / Gast</t>
  </si>
  <si>
    <t>Materialaufwand</t>
  </si>
  <si>
    <t>Rohertrag</t>
  </si>
  <si>
    <t>Personal</t>
  </si>
  <si>
    <t>Miete</t>
  </si>
  <si>
    <t>Sonstige Aufwendungen</t>
  </si>
  <si>
    <t>EBIT</t>
  </si>
  <si>
    <t>EBT</t>
  </si>
  <si>
    <t>Steuern</t>
  </si>
  <si>
    <t>Umsatz</t>
  </si>
  <si>
    <t>Periode</t>
  </si>
  <si>
    <t>Zinsergebnis</t>
  </si>
  <si>
    <t xml:space="preserve">Jahresergebnis </t>
  </si>
  <si>
    <t>Ausschüttung</t>
  </si>
  <si>
    <t>Barwertfaktor</t>
  </si>
  <si>
    <t xml:space="preserve">Barwert </t>
  </si>
  <si>
    <t>Tage</t>
  </si>
  <si>
    <t>Unternehmenswert in Mio. €</t>
  </si>
  <si>
    <t>Minimum</t>
  </si>
  <si>
    <t>Maximum</t>
  </si>
  <si>
    <t>Planungsrechnung zur Ableitung des Unternehmenswerts</t>
  </si>
  <si>
    <t>Indikatoren</t>
  </si>
  <si>
    <t>Planungsrechnung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</si>
</sst>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€_-;\-* #,##0.00\ _€_-;_-* &quot;-&quot;??\ _€_-;_-@_-"/>
    <numFmt numFmtId="165" formatCode="0.0%"/>
    <numFmt numFmtId="166" formatCode="_(* #,##0_);_(* \(#,##0\);_(* &quot;-&quot;_);@_)"/>
    <numFmt numFmtId="167" formatCode="#,##0.00_ ;\-#,##0.00\ "/>
    <numFmt numFmtId="168" formatCode="_(* #,##0.00_);_(* \(#,##0.00\);_(* &quot;-&quot;_);@_)"/>
    <numFmt numFmtId="169" formatCode="#,##0.00\ &quot;€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theme="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" fillId="0" borderId="13" applyFill="0" applyProtection="0">
      <alignment horizontal="right" wrapText="1"/>
    </xf>
    <xf numFmtId="0" fontId="9" fillId="0" borderId="14" applyNumberFormat="0" applyFill="0" applyAlignment="0" applyProtection="0"/>
  </cellStyleXfs>
  <cellXfs count="68">
    <xf numFmtId="0" fontId="0" fillId="0" borderId="0" xfId="0"/>
    <xf numFmtId="0" fontId="3" fillId="0" borderId="0" xfId="0" applyFont="1"/>
    <xf numFmtId="0" fontId="3" fillId="0" borderId="0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7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/>
    <xf numFmtId="0" fontId="4" fillId="0" borderId="1" xfId="0" applyFont="1" applyBorder="1"/>
    <xf numFmtId="0" fontId="3" fillId="0" borderId="2" xfId="0" applyFont="1" applyBorder="1"/>
    <xf numFmtId="0" fontId="3" fillId="0" borderId="9" xfId="0" applyFont="1" applyBorder="1"/>
    <xf numFmtId="165" fontId="3" fillId="0" borderId="7" xfId="1" applyNumberFormat="1" applyFont="1" applyBorder="1" applyAlignment="1">
      <alignment horizontal="center"/>
    </xf>
    <xf numFmtId="165" fontId="3" fillId="0" borderId="0" xfId="1" applyNumberFormat="1" applyFont="1" applyAlignment="1">
      <alignment horizontal="center"/>
    </xf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8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top" wrapText="1"/>
    </xf>
    <xf numFmtId="0" fontId="0" fillId="0" borderId="0" xfId="0" applyFont="1"/>
    <xf numFmtId="9" fontId="3" fillId="0" borderId="0" xfId="1" applyFont="1"/>
    <xf numFmtId="0" fontId="3" fillId="0" borderId="5" xfId="0" applyFont="1" applyBorder="1"/>
    <xf numFmtId="0" fontId="4" fillId="0" borderId="7" xfId="0" applyFont="1" applyBorder="1"/>
    <xf numFmtId="2" fontId="3" fillId="0" borderId="8" xfId="0" applyNumberFormat="1" applyFont="1" applyBorder="1"/>
    <xf numFmtId="2" fontId="2" fillId="0" borderId="8" xfId="0" applyNumberFormat="1" applyFont="1" applyBorder="1"/>
    <xf numFmtId="0" fontId="0" fillId="0" borderId="11" xfId="0" applyFont="1" applyBorder="1"/>
    <xf numFmtId="10" fontId="3" fillId="0" borderId="8" xfId="1" applyNumberFormat="1" applyFont="1" applyBorder="1"/>
    <xf numFmtId="0" fontId="2" fillId="0" borderId="4" xfId="0" applyFont="1" applyBorder="1"/>
    <xf numFmtId="0" fontId="0" fillId="2" borderId="0" xfId="0" applyFill="1"/>
    <xf numFmtId="0" fontId="2" fillId="2" borderId="0" xfId="0" applyFont="1" applyFill="1"/>
    <xf numFmtId="164" fontId="0" fillId="2" borderId="0" xfId="0" applyNumberFormat="1" applyFill="1"/>
    <xf numFmtId="9" fontId="0" fillId="2" borderId="0" xfId="1" applyFont="1" applyFill="1"/>
    <xf numFmtId="0" fontId="1" fillId="2" borderId="0" xfId="0" applyFont="1" applyFill="1"/>
    <xf numFmtId="166" fontId="1" fillId="2" borderId="0" xfId="0" applyNumberFormat="1" applyFont="1" applyFill="1"/>
    <xf numFmtId="167" fontId="1" fillId="2" borderId="0" xfId="2" applyNumberFormat="1" applyFont="1" applyFill="1" applyAlignment="1"/>
    <xf numFmtId="0" fontId="0" fillId="2" borderId="0" xfId="0" applyFont="1" applyFill="1"/>
    <xf numFmtId="0" fontId="4" fillId="2" borderId="0" xfId="0" applyFont="1" applyFill="1"/>
    <xf numFmtId="0" fontId="0" fillId="2" borderId="1" xfId="0" applyFill="1" applyBorder="1" applyAlignment="1">
      <alignment horizontal="left" indent="1"/>
    </xf>
    <xf numFmtId="0" fontId="0" fillId="2" borderId="1" xfId="0" applyFill="1" applyBorder="1"/>
    <xf numFmtId="168" fontId="1" fillId="2" borderId="1" xfId="0" applyNumberFormat="1" applyFont="1" applyFill="1" applyBorder="1"/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 indent="1"/>
    </xf>
    <xf numFmtId="168" fontId="0" fillId="2" borderId="0" xfId="0" applyNumberFormat="1" applyFill="1"/>
    <xf numFmtId="168" fontId="0" fillId="2" borderId="1" xfId="0" applyNumberFormat="1" applyFill="1" applyBorder="1"/>
    <xf numFmtId="0" fontId="4" fillId="2" borderId="1" xfId="0" applyFont="1" applyFill="1" applyBorder="1" applyAlignment="1">
      <alignment horizontal="left"/>
    </xf>
    <xf numFmtId="0" fontId="10" fillId="2" borderId="1" xfId="0" applyFont="1" applyFill="1" applyBorder="1"/>
    <xf numFmtId="164" fontId="10" fillId="2" borderId="1" xfId="0" applyNumberFormat="1" applyFont="1" applyFill="1" applyBorder="1"/>
    <xf numFmtId="2" fontId="0" fillId="2" borderId="0" xfId="0" applyNumberFormat="1" applyFill="1"/>
    <xf numFmtId="0" fontId="0" fillId="2" borderId="0" xfId="0" applyFill="1" applyBorder="1"/>
    <xf numFmtId="0" fontId="2" fillId="2" borderId="0" xfId="0" applyFont="1" applyFill="1" applyBorder="1"/>
    <xf numFmtId="164" fontId="0" fillId="2" borderId="0" xfId="0" applyNumberFormat="1" applyFill="1" applyBorder="1"/>
    <xf numFmtId="0" fontId="11" fillId="2" borderId="0" xfId="0" applyFont="1" applyFill="1" applyBorder="1"/>
    <xf numFmtId="169" fontId="0" fillId="2" borderId="0" xfId="0" applyNumberFormat="1" applyFill="1" applyBorder="1"/>
    <xf numFmtId="0" fontId="2" fillId="2" borderId="0" xfId="0" applyFont="1" applyFill="1" applyBorder="1" applyAlignment="1">
      <alignment horizontal="right"/>
    </xf>
    <xf numFmtId="0" fontId="12" fillId="2" borderId="0" xfId="0" applyFont="1" applyFill="1"/>
    <xf numFmtId="0" fontId="2" fillId="0" borderId="0" xfId="0" applyFont="1"/>
    <xf numFmtId="0" fontId="2" fillId="0" borderId="1" xfId="0" applyFont="1" applyBorder="1"/>
  </cellXfs>
  <cellStyles count="5">
    <cellStyle name="Komma" xfId="2" builtinId="3"/>
    <cellStyle name="Prozent" xfId="1" builtinId="5"/>
    <cellStyle name="Smart Subtitle 1" xfId="3" xr:uid="{F27FB140-98D4-4937-BB5A-488B495E8735}"/>
    <cellStyle name="Smart Total" xfId="4" xr:uid="{B4055C44-9374-429D-AD44-026677E762EF}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Wahrscheinlichkeitsverteilung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MonteCarlo!$M$33:$M$55</c:f>
              <c:numCache>
                <c:formatCode>General</c:formatCode>
                <c:ptCount val="23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</c:numCache>
            </c:numRef>
          </c:cat>
          <c:val>
            <c:numRef>
              <c:f>MonteCarlo!$O$33:$O$55</c:f>
              <c:numCache>
                <c:formatCode>0%</c:formatCode>
                <c:ptCount val="23"/>
                <c:pt idx="0">
                  <c:v>0</c:v>
                </c:pt>
                <c:pt idx="1">
                  <c:v>6.0000000000000001E-3</c:v>
                </c:pt>
                <c:pt idx="2">
                  <c:v>1.2E-2</c:v>
                </c:pt>
                <c:pt idx="3">
                  <c:v>1.7999999999999999E-2</c:v>
                </c:pt>
                <c:pt idx="4">
                  <c:v>2.1999999999999999E-2</c:v>
                </c:pt>
                <c:pt idx="5">
                  <c:v>0.03</c:v>
                </c:pt>
                <c:pt idx="6">
                  <c:v>5.3999999999999999E-2</c:v>
                </c:pt>
                <c:pt idx="7">
                  <c:v>5.6000000000000001E-2</c:v>
                </c:pt>
                <c:pt idx="8">
                  <c:v>8.4000000000000005E-2</c:v>
                </c:pt>
                <c:pt idx="9">
                  <c:v>0.104</c:v>
                </c:pt>
                <c:pt idx="10">
                  <c:v>9.1999999999999998E-2</c:v>
                </c:pt>
                <c:pt idx="11">
                  <c:v>8.7999999999999995E-2</c:v>
                </c:pt>
                <c:pt idx="12">
                  <c:v>0.09</c:v>
                </c:pt>
                <c:pt idx="13">
                  <c:v>0.08</c:v>
                </c:pt>
                <c:pt idx="14">
                  <c:v>6.8000000000000005E-2</c:v>
                </c:pt>
                <c:pt idx="15">
                  <c:v>5.8000000000000003E-2</c:v>
                </c:pt>
                <c:pt idx="16">
                  <c:v>4.8000000000000001E-2</c:v>
                </c:pt>
                <c:pt idx="17">
                  <c:v>2.5999999999999999E-2</c:v>
                </c:pt>
                <c:pt idx="18">
                  <c:v>0.01</c:v>
                </c:pt>
                <c:pt idx="19">
                  <c:v>1.6E-2</c:v>
                </c:pt>
                <c:pt idx="20">
                  <c:v>1.6E-2</c:v>
                </c:pt>
                <c:pt idx="21">
                  <c:v>1.2E-2</c:v>
                </c:pt>
                <c:pt idx="22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D49-BF46-284ABFE1C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596736"/>
        <c:axId val="688595752"/>
      </c:barChart>
      <c:catAx>
        <c:axId val="68859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8595752"/>
        <c:crosses val="autoZero"/>
        <c:auto val="1"/>
        <c:lblAlgn val="ctr"/>
        <c:lblOffset val="100"/>
        <c:noMultiLvlLbl val="0"/>
      </c:catAx>
      <c:valAx>
        <c:axId val="68859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859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594360</xdr:colOff>
      <xdr:row>10</xdr:row>
      <xdr:rowOff>110490</xdr:rowOff>
    </xdr:from>
    <xdr:to>
      <xdr:col>15</xdr:col>
      <xdr:colOff>411480</xdr:colOff>
      <xdr:row>25</xdr:row>
      <xdr:rowOff>110490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12700</xdr:colOff>
          <xdr:row>13</xdr:row>
          <xdr:rowOff>0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MonteCarlo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F4E26-38F1-408C-B22B-12C3FA551540}">
  <sheetPr codeName="Tabelle1"/>
  <dimension ref="A2:U51"/>
  <sheetViews>
    <sheetView zoomScale="90" zoomScaleNormal="90" workbookViewId="0"/>
  </sheetViews>
  <sheetFormatPr baseColWidth="10" defaultRowHeight="14.5" x14ac:dyDescent="0.35"/>
  <cols>
    <col min="1" max="2" width="10.90625" style="39"/>
    <col min="3" max="3" width="21.26953125" style="39" bestFit="1" customWidth="1"/>
    <col min="4" max="4" width="1.54296875" style="39" customWidth="1"/>
    <col min="5" max="12" width="10.90625" style="39"/>
    <col min="13" max="13" width="22.453125" style="39" customWidth="1"/>
    <col min="14" max="14" width="3.08984375" style="39" customWidth="1"/>
    <col min="15" max="16384" width="10.90625" style="39"/>
  </cols>
  <sheetData>
    <row r="2" spans="1:20" x14ac:dyDescent="0.35">
      <c r="A2" s="65" t="s">
        <v>49</v>
      </c>
    </row>
    <row r="5" spans="1:20" x14ac:dyDescent="0.35">
      <c r="M5" s="65" t="s">
        <v>51</v>
      </c>
    </row>
    <row r="7" spans="1:20" x14ac:dyDescent="0.35">
      <c r="C7" s="65" t="s">
        <v>50</v>
      </c>
    </row>
    <row r="8" spans="1:20" x14ac:dyDescent="0.35">
      <c r="M8" s="40" t="s">
        <v>46</v>
      </c>
      <c r="O8" s="41">
        <f>O32/1000</f>
        <v>1.2913878980019458</v>
      </c>
    </row>
    <row r="9" spans="1:20" x14ac:dyDescent="0.35">
      <c r="C9" s="40" t="s">
        <v>1</v>
      </c>
      <c r="E9" s="39">
        <v>15</v>
      </c>
    </row>
    <row r="10" spans="1:20" x14ac:dyDescent="0.35">
      <c r="C10" s="40"/>
    </row>
    <row r="11" spans="1:20" x14ac:dyDescent="0.35">
      <c r="C11" s="40"/>
      <c r="L11" s="42">
        <v>0.05</v>
      </c>
      <c r="M11" s="43" t="s">
        <v>28</v>
      </c>
      <c r="N11" s="43"/>
      <c r="O11" s="44">
        <v>500</v>
      </c>
      <c r="P11" s="44">
        <f>O11*(1+$L$11)</f>
        <v>525</v>
      </c>
      <c r="Q11" s="44">
        <f t="shared" ref="Q11:T11" si="0">P11*(1+$L$11)</f>
        <v>551.25</v>
      </c>
      <c r="R11" s="44">
        <f t="shared" si="0"/>
        <v>578.8125</v>
      </c>
      <c r="S11" s="44">
        <f t="shared" si="0"/>
        <v>607.75312500000007</v>
      </c>
      <c r="T11" s="44">
        <f t="shared" si="0"/>
        <v>638.14078125000015</v>
      </c>
    </row>
    <row r="12" spans="1:20" x14ac:dyDescent="0.35">
      <c r="C12" s="40"/>
      <c r="L12" s="39">
        <v>0</v>
      </c>
      <c r="M12" s="43" t="s">
        <v>29</v>
      </c>
      <c r="N12" s="43"/>
      <c r="O12" s="45">
        <f>E9</f>
        <v>15</v>
      </c>
      <c r="P12" s="45">
        <f>O12*(1+$L$12)</f>
        <v>15</v>
      </c>
      <c r="Q12" s="45">
        <f t="shared" ref="Q12:T12" si="1">P12*(1+$L$12)</f>
        <v>15</v>
      </c>
      <c r="R12" s="45">
        <f t="shared" si="1"/>
        <v>15</v>
      </c>
      <c r="S12" s="45">
        <f t="shared" si="1"/>
        <v>15</v>
      </c>
      <c r="T12" s="45">
        <f t="shared" si="1"/>
        <v>15</v>
      </c>
    </row>
    <row r="13" spans="1:20" x14ac:dyDescent="0.35">
      <c r="C13" s="40" t="s">
        <v>17</v>
      </c>
      <c r="E13" s="39">
        <v>0.5</v>
      </c>
      <c r="L13" s="39">
        <v>250</v>
      </c>
      <c r="M13" s="46" t="s">
        <v>45</v>
      </c>
      <c r="O13" s="39">
        <f>$L$13</f>
        <v>250</v>
      </c>
      <c r="P13" s="39">
        <f t="shared" ref="P13:T13" si="2">$L$13</f>
        <v>250</v>
      </c>
      <c r="Q13" s="39">
        <f t="shared" si="2"/>
        <v>250</v>
      </c>
      <c r="R13" s="39">
        <f t="shared" si="2"/>
        <v>250</v>
      </c>
      <c r="S13" s="39">
        <f t="shared" si="2"/>
        <v>250</v>
      </c>
      <c r="T13" s="39">
        <f t="shared" si="2"/>
        <v>250</v>
      </c>
    </row>
    <row r="14" spans="1:20" x14ac:dyDescent="0.35">
      <c r="C14" s="40"/>
    </row>
    <row r="15" spans="1:20" x14ac:dyDescent="0.35">
      <c r="C15" s="40"/>
      <c r="M15" s="47" t="s">
        <v>39</v>
      </c>
      <c r="N15" s="47"/>
      <c r="O15" s="47">
        <v>1</v>
      </c>
      <c r="P15" s="47">
        <v>2</v>
      </c>
      <c r="Q15" s="47">
        <v>3</v>
      </c>
      <c r="R15" s="47">
        <v>4</v>
      </c>
      <c r="S15" s="47">
        <v>5</v>
      </c>
      <c r="T15" s="47">
        <v>6</v>
      </c>
    </row>
    <row r="16" spans="1:20" x14ac:dyDescent="0.35">
      <c r="C16" s="40" t="s">
        <v>2</v>
      </c>
      <c r="E16" s="39">
        <v>20</v>
      </c>
      <c r="M16" s="39" t="s">
        <v>38</v>
      </c>
      <c r="O16" s="41">
        <f>(O11*O12*O13)/1000</f>
        <v>1875</v>
      </c>
      <c r="P16" s="41">
        <f t="shared" ref="P16:T16" si="3">(P11*P12*P13)/1000</f>
        <v>1968.75</v>
      </c>
      <c r="Q16" s="41">
        <f t="shared" si="3"/>
        <v>2067.1875</v>
      </c>
      <c r="R16" s="41">
        <f t="shared" si="3"/>
        <v>2170.546875</v>
      </c>
      <c r="S16" s="41">
        <f t="shared" si="3"/>
        <v>2279.0742187500005</v>
      </c>
      <c r="T16" s="41">
        <f t="shared" si="3"/>
        <v>2393.0279296875005</v>
      </c>
    </row>
    <row r="17" spans="11:20" x14ac:dyDescent="0.35">
      <c r="M17" s="48" t="s">
        <v>30</v>
      </c>
      <c r="N17" s="49"/>
      <c r="O17" s="50">
        <f>-O16*$E$13</f>
        <v>-937.5</v>
      </c>
      <c r="P17" s="50">
        <f t="shared" ref="P17:T17" si="4">-P16*$E$13</f>
        <v>-984.375</v>
      </c>
      <c r="Q17" s="50">
        <f t="shared" si="4"/>
        <v>-1033.59375</v>
      </c>
      <c r="R17" s="50">
        <f t="shared" si="4"/>
        <v>-1085.2734375</v>
      </c>
      <c r="S17" s="50">
        <f t="shared" si="4"/>
        <v>-1139.5371093750002</v>
      </c>
      <c r="T17" s="50">
        <f t="shared" si="4"/>
        <v>-1196.5139648437503</v>
      </c>
    </row>
    <row r="18" spans="11:20" x14ac:dyDescent="0.35">
      <c r="M18" s="51" t="s">
        <v>31</v>
      </c>
      <c r="O18" s="41">
        <f>SUM(O16:O17)</f>
        <v>937.5</v>
      </c>
      <c r="P18" s="41">
        <f t="shared" ref="P18:T18" si="5">SUM(P16:P17)</f>
        <v>984.375</v>
      </c>
      <c r="Q18" s="41">
        <f t="shared" si="5"/>
        <v>1033.59375</v>
      </c>
      <c r="R18" s="41">
        <f t="shared" si="5"/>
        <v>1085.2734375</v>
      </c>
      <c r="S18" s="41">
        <f t="shared" si="5"/>
        <v>1139.5371093750002</v>
      </c>
      <c r="T18" s="41">
        <f t="shared" si="5"/>
        <v>1196.5139648437503</v>
      </c>
    </row>
    <row r="19" spans="11:20" x14ac:dyDescent="0.35">
      <c r="M19" s="52" t="s">
        <v>32</v>
      </c>
      <c r="O19" s="53">
        <v>-750</v>
      </c>
      <c r="P19" s="53">
        <v>-750</v>
      </c>
      <c r="Q19" s="53">
        <v>-750</v>
      </c>
      <c r="R19" s="53">
        <v>-750</v>
      </c>
      <c r="S19" s="53">
        <v>-750</v>
      </c>
      <c r="T19" s="53">
        <v>-850</v>
      </c>
    </row>
    <row r="20" spans="11:20" x14ac:dyDescent="0.35">
      <c r="M20" s="52" t="s">
        <v>33</v>
      </c>
      <c r="O20" s="53">
        <v>-72</v>
      </c>
      <c r="P20" s="53">
        <v>-72</v>
      </c>
      <c r="Q20" s="53">
        <v>-72</v>
      </c>
      <c r="R20" s="53">
        <v>-72</v>
      </c>
      <c r="S20" s="53">
        <v>-72</v>
      </c>
      <c r="T20" s="53">
        <v>-100</v>
      </c>
    </row>
    <row r="21" spans="11:20" x14ac:dyDescent="0.35">
      <c r="M21" s="48" t="s">
        <v>34</v>
      </c>
      <c r="N21" s="49"/>
      <c r="O21" s="54">
        <v>-42</v>
      </c>
      <c r="P21" s="54">
        <v>-42</v>
      </c>
      <c r="Q21" s="54">
        <v>-42</v>
      </c>
      <c r="R21" s="54">
        <v>-42</v>
      </c>
      <c r="S21" s="54">
        <v>-42</v>
      </c>
      <c r="T21" s="54">
        <v>-70</v>
      </c>
    </row>
    <row r="22" spans="11:20" x14ac:dyDescent="0.35">
      <c r="M22" s="51" t="s">
        <v>35</v>
      </c>
      <c r="O22" s="41">
        <f>SUM(O18:O21)</f>
        <v>73.5</v>
      </c>
      <c r="P22" s="41">
        <f t="shared" ref="P22:T22" si="6">SUM(P18:P21)</f>
        <v>120.375</v>
      </c>
      <c r="Q22" s="41">
        <f t="shared" si="6"/>
        <v>169.59375</v>
      </c>
      <c r="R22" s="41">
        <f t="shared" si="6"/>
        <v>221.2734375</v>
      </c>
      <c r="S22" s="41">
        <f t="shared" si="6"/>
        <v>275.53710937500023</v>
      </c>
      <c r="T22" s="41">
        <f t="shared" si="6"/>
        <v>176.51396484375027</v>
      </c>
    </row>
    <row r="23" spans="11:20" x14ac:dyDescent="0.35">
      <c r="M23" s="48" t="s">
        <v>40</v>
      </c>
      <c r="N23" s="49"/>
      <c r="O23" s="54">
        <v>-2</v>
      </c>
      <c r="P23" s="54">
        <v>-2</v>
      </c>
      <c r="Q23" s="54">
        <v>-3</v>
      </c>
      <c r="R23" s="54">
        <v>-3</v>
      </c>
      <c r="S23" s="54">
        <v>-4</v>
      </c>
      <c r="T23" s="54">
        <v>-5</v>
      </c>
    </row>
    <row r="24" spans="11:20" x14ac:dyDescent="0.35">
      <c r="M24" s="51" t="s">
        <v>36</v>
      </c>
      <c r="O24" s="41">
        <f>SUM(O22:O23)</f>
        <v>71.5</v>
      </c>
      <c r="P24" s="41">
        <f t="shared" ref="P24:T24" si="7">SUM(P22:P23)</f>
        <v>118.375</v>
      </c>
      <c r="Q24" s="41">
        <f t="shared" si="7"/>
        <v>166.59375</v>
      </c>
      <c r="R24" s="41">
        <f t="shared" si="7"/>
        <v>218.2734375</v>
      </c>
      <c r="S24" s="41">
        <f t="shared" si="7"/>
        <v>271.53710937500023</v>
      </c>
      <c r="T24" s="41">
        <f t="shared" si="7"/>
        <v>171.51396484375027</v>
      </c>
    </row>
    <row r="25" spans="11:20" x14ac:dyDescent="0.35">
      <c r="L25" s="39">
        <v>0.2</v>
      </c>
      <c r="M25" s="48" t="s">
        <v>37</v>
      </c>
      <c r="N25" s="49"/>
      <c r="O25" s="54">
        <v>-22</v>
      </c>
      <c r="P25" s="54">
        <f>O25*(1+$L$25)</f>
        <v>-26.4</v>
      </c>
      <c r="Q25" s="54">
        <f t="shared" ref="Q25:T25" si="8">P25*(1+$L$25)</f>
        <v>-31.679999999999996</v>
      </c>
      <c r="R25" s="54">
        <f t="shared" si="8"/>
        <v>-38.015999999999991</v>
      </c>
      <c r="S25" s="54">
        <f t="shared" si="8"/>
        <v>-45.619199999999985</v>
      </c>
      <c r="T25" s="54">
        <f t="shared" si="8"/>
        <v>-54.743039999999979</v>
      </c>
    </row>
    <row r="26" spans="11:20" x14ac:dyDescent="0.35">
      <c r="M26" s="55" t="s">
        <v>41</v>
      </c>
      <c r="N26" s="56"/>
      <c r="O26" s="57">
        <f>SUM(O24:O25)</f>
        <v>49.5</v>
      </c>
      <c r="P26" s="57">
        <f t="shared" ref="P26:T26" si="9">SUM(P24:P25)</f>
        <v>91.974999999999994</v>
      </c>
      <c r="Q26" s="57">
        <f t="shared" si="9"/>
        <v>134.91374999999999</v>
      </c>
      <c r="R26" s="57">
        <f t="shared" si="9"/>
        <v>180.25743750000001</v>
      </c>
      <c r="S26" s="57">
        <f t="shared" si="9"/>
        <v>225.91790937500025</v>
      </c>
      <c r="T26" s="57">
        <f t="shared" si="9"/>
        <v>116.77092484375029</v>
      </c>
    </row>
    <row r="28" spans="11:20" x14ac:dyDescent="0.35">
      <c r="M28" s="40" t="s">
        <v>42</v>
      </c>
      <c r="O28" s="41">
        <f>O26</f>
        <v>49.5</v>
      </c>
      <c r="P28" s="41">
        <f t="shared" ref="P28:T28" si="10">P26</f>
        <v>91.974999999999994</v>
      </c>
      <c r="Q28" s="41">
        <f t="shared" si="10"/>
        <v>134.91374999999999</v>
      </c>
      <c r="R28" s="41">
        <f t="shared" si="10"/>
        <v>180.25743750000001</v>
      </c>
      <c r="S28" s="41">
        <f t="shared" si="10"/>
        <v>225.91790937500025</v>
      </c>
      <c r="T28" s="41">
        <f t="shared" si="10"/>
        <v>116.77092484375029</v>
      </c>
    </row>
    <row r="29" spans="11:20" x14ac:dyDescent="0.35">
      <c r="K29" s="39">
        <v>0.01</v>
      </c>
      <c r="L29" s="39">
        <v>0.1</v>
      </c>
      <c r="M29" s="40" t="s">
        <v>43</v>
      </c>
      <c r="O29" s="58">
        <f>1/(1+$L$29)^O15</f>
        <v>0.90909090909090906</v>
      </c>
      <c r="P29" s="58">
        <f t="shared" ref="P29:S29" si="11">1/(1+$L$29)^P15</f>
        <v>0.82644628099173545</v>
      </c>
      <c r="Q29" s="58">
        <f t="shared" si="11"/>
        <v>0.75131480090157754</v>
      </c>
      <c r="R29" s="58">
        <f t="shared" si="11"/>
        <v>0.68301345536507052</v>
      </c>
      <c r="S29" s="58">
        <f t="shared" si="11"/>
        <v>0.62092132305915493</v>
      </c>
      <c r="T29" s="58">
        <f>(1/(L29-K29))/(1+L29)^S15</f>
        <v>6.8991258117683874</v>
      </c>
    </row>
    <row r="30" spans="11:20" x14ac:dyDescent="0.35">
      <c r="M30" s="40" t="s">
        <v>44</v>
      </c>
      <c r="O30" s="41">
        <f>O28*O29</f>
        <v>45</v>
      </c>
      <c r="P30" s="41">
        <f t="shared" ref="P30:T30" si="12">P28*P29</f>
        <v>76.012396694214857</v>
      </c>
      <c r="Q30" s="41">
        <f t="shared" si="12"/>
        <v>101.3626972201352</v>
      </c>
      <c r="R30" s="41">
        <f t="shared" si="12"/>
        <v>123.11825524212824</v>
      </c>
      <c r="S30" s="41">
        <f t="shared" si="12"/>
        <v>140.27724719188342</v>
      </c>
      <c r="T30" s="41">
        <f t="shared" si="12"/>
        <v>805.61730165358415</v>
      </c>
    </row>
    <row r="32" spans="11:20" x14ac:dyDescent="0.35">
      <c r="M32" s="40" t="s">
        <v>27</v>
      </c>
      <c r="O32" s="41">
        <f>SUM(O30:T30)</f>
        <v>1291.3878980019458</v>
      </c>
    </row>
    <row r="34" spans="13:21" x14ac:dyDescent="0.35">
      <c r="M34" s="59"/>
      <c r="N34" s="59"/>
      <c r="O34" s="59"/>
      <c r="P34" s="59"/>
      <c r="Q34" s="59"/>
      <c r="R34" s="60"/>
      <c r="S34" s="59"/>
      <c r="T34" s="59"/>
      <c r="U34" s="59"/>
    </row>
    <row r="35" spans="13:21" x14ac:dyDescent="0.35">
      <c r="M35" s="59"/>
      <c r="N35" s="59"/>
      <c r="O35" s="59"/>
      <c r="P35" s="59"/>
      <c r="Q35" s="59"/>
      <c r="R35" s="59"/>
      <c r="S35" s="59"/>
      <c r="T35" s="59"/>
      <c r="U35" s="59"/>
    </row>
    <row r="36" spans="13:21" x14ac:dyDescent="0.35">
      <c r="M36" s="59"/>
      <c r="N36" s="59"/>
      <c r="O36" s="61"/>
      <c r="P36" s="62"/>
      <c r="Q36" s="62"/>
      <c r="R36" s="62"/>
      <c r="S36" s="62"/>
      <c r="T36" s="62"/>
      <c r="U36" s="59"/>
    </row>
    <row r="37" spans="13:21" x14ac:dyDescent="0.35">
      <c r="M37" s="59"/>
      <c r="N37" s="59"/>
      <c r="O37" s="62"/>
      <c r="P37" s="63"/>
      <c r="Q37" s="63"/>
      <c r="R37" s="63"/>
      <c r="S37" s="63"/>
      <c r="T37" s="63"/>
      <c r="U37" s="59"/>
    </row>
    <row r="38" spans="13:21" x14ac:dyDescent="0.35">
      <c r="M38" s="59"/>
      <c r="N38" s="59"/>
      <c r="O38" s="62"/>
      <c r="P38" s="63"/>
      <c r="Q38" s="63"/>
      <c r="R38" s="63"/>
      <c r="S38" s="63"/>
      <c r="T38" s="63"/>
      <c r="U38" s="59"/>
    </row>
    <row r="39" spans="13:21" x14ac:dyDescent="0.35">
      <c r="M39" s="59"/>
      <c r="N39" s="59"/>
      <c r="O39" s="62"/>
      <c r="P39" s="63"/>
      <c r="Q39" s="63"/>
      <c r="R39" s="63"/>
      <c r="S39" s="63"/>
      <c r="T39" s="63"/>
      <c r="U39" s="59"/>
    </row>
    <row r="40" spans="13:21" x14ac:dyDescent="0.35">
      <c r="M40" s="60"/>
      <c r="N40" s="59"/>
      <c r="O40" s="62"/>
      <c r="P40" s="63"/>
      <c r="Q40" s="63"/>
      <c r="R40" s="63"/>
      <c r="S40" s="63"/>
      <c r="T40" s="63"/>
      <c r="U40" s="59"/>
    </row>
    <row r="41" spans="13:21" x14ac:dyDescent="0.35">
      <c r="M41" s="59"/>
      <c r="N41" s="59"/>
      <c r="O41" s="62"/>
      <c r="P41" s="63"/>
      <c r="Q41" s="63"/>
      <c r="R41" s="63"/>
      <c r="S41" s="63"/>
      <c r="T41" s="63"/>
      <c r="U41" s="59"/>
    </row>
    <row r="42" spans="13:21" x14ac:dyDescent="0.35">
      <c r="M42" s="59"/>
      <c r="N42" s="59"/>
      <c r="O42" s="62"/>
      <c r="P42" s="63"/>
      <c r="Q42" s="63"/>
      <c r="R42" s="63"/>
      <c r="S42" s="63"/>
      <c r="T42" s="63"/>
      <c r="U42" s="59"/>
    </row>
    <row r="43" spans="13:21" x14ac:dyDescent="0.35">
      <c r="M43" s="59"/>
      <c r="N43" s="59"/>
      <c r="O43" s="62"/>
      <c r="P43" s="63"/>
      <c r="Q43" s="63"/>
      <c r="R43" s="63"/>
      <c r="S43" s="63"/>
      <c r="T43" s="63"/>
      <c r="U43" s="59"/>
    </row>
    <row r="44" spans="13:21" x14ac:dyDescent="0.35">
      <c r="M44" s="59"/>
      <c r="N44" s="59"/>
      <c r="O44" s="59"/>
      <c r="P44" s="59"/>
      <c r="Q44" s="59"/>
      <c r="R44" s="59"/>
      <c r="S44" s="59"/>
      <c r="T44" s="59"/>
      <c r="U44" s="59"/>
    </row>
    <row r="45" spans="13:21" x14ac:dyDescent="0.35">
      <c r="M45" s="59"/>
      <c r="N45" s="59"/>
      <c r="O45" s="59"/>
      <c r="P45" s="59"/>
      <c r="Q45" s="59"/>
      <c r="R45" s="59"/>
      <c r="S45" s="59"/>
      <c r="T45" s="59"/>
      <c r="U45" s="59"/>
    </row>
    <row r="46" spans="13:21" x14ac:dyDescent="0.35">
      <c r="M46" s="64"/>
      <c r="N46" s="59"/>
      <c r="O46" s="63"/>
      <c r="P46" s="59"/>
      <c r="Q46" s="59"/>
      <c r="R46" s="59"/>
      <c r="S46" s="59"/>
      <c r="T46" s="59"/>
      <c r="U46" s="59"/>
    </row>
    <row r="47" spans="13:21" x14ac:dyDescent="0.35">
      <c r="M47" s="64"/>
      <c r="N47" s="59"/>
      <c r="O47" s="63"/>
      <c r="P47" s="59"/>
      <c r="Q47" s="59"/>
      <c r="R47" s="59"/>
      <c r="S47" s="59"/>
      <c r="T47" s="59"/>
      <c r="U47" s="59"/>
    </row>
    <row r="48" spans="13:21" x14ac:dyDescent="0.35">
      <c r="M48" s="64"/>
      <c r="N48" s="59"/>
      <c r="O48" s="63"/>
      <c r="P48" s="59"/>
      <c r="Q48" s="59"/>
      <c r="R48" s="59"/>
      <c r="S48" s="59"/>
      <c r="T48" s="59"/>
      <c r="U48" s="59"/>
    </row>
    <row r="49" spans="13:21" x14ac:dyDescent="0.35">
      <c r="M49" s="59"/>
      <c r="N49" s="59"/>
      <c r="O49" s="59"/>
      <c r="P49" s="59"/>
      <c r="Q49" s="59"/>
      <c r="R49" s="59"/>
      <c r="S49" s="59"/>
      <c r="T49" s="59"/>
      <c r="U49" s="59"/>
    </row>
    <row r="50" spans="13:21" x14ac:dyDescent="0.35">
      <c r="M50" s="59"/>
      <c r="N50" s="59"/>
      <c r="O50" s="59"/>
      <c r="P50" s="59"/>
      <c r="Q50" s="59"/>
      <c r="R50" s="59"/>
      <c r="S50" s="59"/>
      <c r="T50" s="59"/>
      <c r="U50" s="59"/>
    </row>
    <row r="51" spans="13:21" x14ac:dyDescent="0.35">
      <c r="M51" s="59"/>
      <c r="N51" s="59"/>
      <c r="O51" s="59"/>
      <c r="P51" s="59"/>
      <c r="Q51" s="59"/>
      <c r="R51" s="59"/>
      <c r="S51" s="59"/>
      <c r="T51" s="59"/>
      <c r="U51" s="59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F3517-AD43-4A97-A7E0-93C207895717}">
  <sheetPr codeName="Tabelle2"/>
  <dimension ref="B2:O529"/>
  <sheetViews>
    <sheetView showGridLines="0" tabSelected="1" topLeftCell="B1" zoomScale="90" zoomScaleNormal="90" workbookViewId="0">
      <selection activeCell="H17" sqref="H17"/>
    </sheetView>
  </sheetViews>
  <sheetFormatPr baseColWidth="10" defaultColWidth="11.54296875" defaultRowHeight="14.5" x14ac:dyDescent="0.35"/>
  <cols>
    <col min="1" max="1" width="11.54296875" style="1"/>
    <col min="2" max="2" width="21.1796875" style="1" bestFit="1" customWidth="1"/>
    <col min="3" max="3" width="14.453125" style="1" customWidth="1"/>
    <col min="4" max="4" width="15.08984375" style="1" customWidth="1"/>
    <col min="5" max="5" width="12.36328125" style="1" customWidth="1"/>
    <col min="6" max="6" width="13.1796875" style="1" customWidth="1"/>
    <col min="7" max="7" width="14.08984375" style="1" customWidth="1"/>
    <col min="8" max="16384" width="11.54296875" style="1"/>
  </cols>
  <sheetData>
    <row r="2" spans="2:7" x14ac:dyDescent="0.35">
      <c r="B2" s="15" t="s">
        <v>26</v>
      </c>
    </row>
    <row r="4" spans="2:7" x14ac:dyDescent="0.35">
      <c r="B4" s="4"/>
      <c r="C4" s="11" t="s">
        <v>3</v>
      </c>
      <c r="D4" s="12" t="s">
        <v>5</v>
      </c>
      <c r="E4" s="12" t="s">
        <v>6</v>
      </c>
      <c r="F4" s="12" t="s">
        <v>8</v>
      </c>
      <c r="G4" s="12" t="s">
        <v>8</v>
      </c>
    </row>
    <row r="5" spans="2:7" x14ac:dyDescent="0.35">
      <c r="B5" s="3"/>
      <c r="C5" s="13" t="s">
        <v>4</v>
      </c>
      <c r="D5" s="14"/>
      <c r="E5" s="14" t="s">
        <v>7</v>
      </c>
      <c r="F5" s="14" t="s">
        <v>9</v>
      </c>
      <c r="G5" s="14" t="s">
        <v>10</v>
      </c>
    </row>
    <row r="6" spans="2:7" x14ac:dyDescent="0.35">
      <c r="B6" s="66" t="s">
        <v>0</v>
      </c>
      <c r="C6" s="19">
        <f>Forecast!E13</f>
        <v>0.5</v>
      </c>
      <c r="D6" s="20">
        <v>0.5</v>
      </c>
      <c r="E6" s="20">
        <v>0.06</v>
      </c>
      <c r="F6" s="20">
        <f>D6-2*E6</f>
        <v>0.38</v>
      </c>
      <c r="G6" s="20">
        <f>D6+2*E6</f>
        <v>0.62</v>
      </c>
    </row>
    <row r="7" spans="2:7" x14ac:dyDescent="0.35">
      <c r="B7" s="66" t="s">
        <v>1</v>
      </c>
      <c r="C7" s="7">
        <f>Forecast!E9</f>
        <v>15</v>
      </c>
      <c r="D7" s="8">
        <v>15</v>
      </c>
      <c r="E7" s="8">
        <v>2</v>
      </c>
      <c r="F7" s="8">
        <f t="shared" ref="F7:F8" si="0">D7-2*E7</f>
        <v>11</v>
      </c>
      <c r="G7" s="8">
        <f t="shared" ref="G7:G8" si="1">D7+2*E7</f>
        <v>19</v>
      </c>
    </row>
    <row r="8" spans="2:7" x14ac:dyDescent="0.35">
      <c r="B8" s="67" t="s">
        <v>2</v>
      </c>
      <c r="C8" s="9">
        <f>Forecast!E16</f>
        <v>20</v>
      </c>
      <c r="D8" s="10">
        <v>20</v>
      </c>
      <c r="E8" s="10">
        <v>1</v>
      </c>
      <c r="F8" s="10">
        <f t="shared" si="0"/>
        <v>18</v>
      </c>
      <c r="G8" s="10">
        <f t="shared" si="1"/>
        <v>22</v>
      </c>
    </row>
    <row r="10" spans="2:7" x14ac:dyDescent="0.35">
      <c r="B10" s="38" t="s">
        <v>11</v>
      </c>
      <c r="C10" s="17">
        <v>500</v>
      </c>
      <c r="D10" s="17">
        <v>500</v>
      </c>
      <c r="E10" s="18" t="s">
        <v>12</v>
      </c>
    </row>
    <row r="17" spans="2:15" x14ac:dyDescent="0.35">
      <c r="B17" s="32"/>
      <c r="C17" s="4"/>
      <c r="D17" s="4"/>
      <c r="E17" s="4"/>
      <c r="F17" s="21"/>
    </row>
    <row r="18" spans="2:15" x14ac:dyDescent="0.35">
      <c r="B18" s="33" t="s">
        <v>13</v>
      </c>
      <c r="C18" s="2"/>
      <c r="D18" s="26" t="s">
        <v>48</v>
      </c>
      <c r="E18" s="34">
        <f>MAX(G30:G1031)</f>
        <v>7.9067550639868189</v>
      </c>
      <c r="F18" s="36" t="s">
        <v>14</v>
      </c>
    </row>
    <row r="19" spans="2:15" x14ac:dyDescent="0.35">
      <c r="B19" s="6"/>
      <c r="C19" s="2"/>
      <c r="D19" s="26" t="s">
        <v>47</v>
      </c>
      <c r="E19" s="34">
        <f>MIN(G30:G1031)</f>
        <v>-3.751730208155335</v>
      </c>
      <c r="F19" s="36" t="s">
        <v>14</v>
      </c>
    </row>
    <row r="20" spans="2:15" x14ac:dyDescent="0.35">
      <c r="B20" s="6"/>
      <c r="C20" s="2"/>
      <c r="D20" s="26" t="s">
        <v>5</v>
      </c>
      <c r="E20" s="35">
        <f>AVERAGE(G30:G1031)</f>
        <v>1.2373416785897517</v>
      </c>
      <c r="F20" s="25" t="s">
        <v>14</v>
      </c>
    </row>
    <row r="21" spans="2:15" x14ac:dyDescent="0.35">
      <c r="B21" s="6"/>
      <c r="C21" s="2"/>
      <c r="D21" s="27"/>
      <c r="E21" s="2"/>
      <c r="F21" s="22"/>
    </row>
    <row r="22" spans="2:15" x14ac:dyDescent="0.35">
      <c r="B22" s="6"/>
      <c r="C22" s="2"/>
      <c r="D22" s="26" t="s">
        <v>15</v>
      </c>
      <c r="E22" s="24">
        <v>2</v>
      </c>
      <c r="F22" s="22" t="s">
        <v>14</v>
      </c>
    </row>
    <row r="23" spans="2:15" x14ac:dyDescent="0.35">
      <c r="B23" s="6"/>
      <c r="C23" s="2"/>
      <c r="D23" s="26" t="str">
        <f>"Anteil zwischen " &amp; M63 &amp; " Mio. € und " &amp; M65 &amp; " Mio. €"</f>
        <v>Anteil zwischen 0 Mio. € und 2 Mio. €</v>
      </c>
      <c r="E23" s="37">
        <f>O64+O65</f>
        <v>0.57012195121951215</v>
      </c>
      <c r="F23" s="22"/>
    </row>
    <row r="24" spans="2:15" x14ac:dyDescent="0.35">
      <c r="B24" s="6"/>
      <c r="C24" s="2"/>
      <c r="D24" s="26" t="s">
        <v>16</v>
      </c>
      <c r="E24" s="37">
        <f>O74</f>
        <v>0.28199999999999997</v>
      </c>
      <c r="F24" s="22"/>
    </row>
    <row r="25" spans="2:15" x14ac:dyDescent="0.35">
      <c r="B25" s="5"/>
      <c r="C25" s="3"/>
      <c r="D25" s="3"/>
      <c r="E25" s="3"/>
      <c r="F25" s="23"/>
    </row>
    <row r="29" spans="2:15" ht="27" customHeight="1" x14ac:dyDescent="0.35">
      <c r="D29" s="28" t="s">
        <v>18</v>
      </c>
      <c r="E29" s="29" t="s">
        <v>1</v>
      </c>
      <c r="F29" s="28" t="s">
        <v>19</v>
      </c>
      <c r="G29" s="28" t="s">
        <v>20</v>
      </c>
    </row>
    <row r="30" spans="2:15" x14ac:dyDescent="0.35">
      <c r="D30" s="1">
        <v>0.61969335551680227</v>
      </c>
      <c r="E30" s="1">
        <v>14.270112661524848</v>
      </c>
      <c r="F30" s="1">
        <v>21.569869725166679</v>
      </c>
      <c r="G30" s="1">
        <v>-2.0657583063730689</v>
      </c>
    </row>
    <row r="31" spans="2:15" x14ac:dyDescent="0.35">
      <c r="D31" s="1">
        <v>0.49225351378798732</v>
      </c>
      <c r="E31" s="1">
        <v>16.965854757344555</v>
      </c>
      <c r="F31" s="1">
        <v>21.183504610180247</v>
      </c>
      <c r="G31" s="1">
        <v>3.0960575022851122</v>
      </c>
    </row>
    <row r="32" spans="2:15" x14ac:dyDescent="0.35">
      <c r="D32" s="1">
        <v>0.46943195552287692</v>
      </c>
      <c r="E32" s="1">
        <v>16.690095555971912</v>
      </c>
      <c r="F32" s="1">
        <v>20.531119344933579</v>
      </c>
      <c r="G32" s="1">
        <v>3.486154314211757</v>
      </c>
      <c r="M32" s="14" t="s">
        <v>21</v>
      </c>
      <c r="N32" s="14" t="s">
        <v>22</v>
      </c>
      <c r="O32" s="14" t="s">
        <v>23</v>
      </c>
    </row>
    <row r="33" spans="4:15" x14ac:dyDescent="0.35">
      <c r="D33" s="1">
        <v>0.54430657227475776</v>
      </c>
      <c r="E33" s="1">
        <v>14.696737083321862</v>
      </c>
      <c r="F33" s="1">
        <v>19.326018846387147</v>
      </c>
      <c r="G33" s="1">
        <v>-8.717949581950336E-3</v>
      </c>
      <c r="M33" s="1">
        <f t="shared" ref="M33:M42" si="2">M34-0.5</f>
        <v>-4</v>
      </c>
      <c r="N33" s="1">
        <f t="array" ref="N33:N55">FREQUENCY(G30:G1030,M33:M54)</f>
        <v>0</v>
      </c>
      <c r="O33" s="31">
        <f>N33/$N$57</f>
        <v>0</v>
      </c>
    </row>
    <row r="34" spans="4:15" x14ac:dyDescent="0.35">
      <c r="D34" s="1">
        <v>0.39913363897707893</v>
      </c>
      <c r="E34" s="1">
        <v>17.716509110108845</v>
      </c>
      <c r="F34" s="1">
        <v>20.630446208686298</v>
      </c>
      <c r="G34" s="1">
        <v>6.3850559128531366</v>
      </c>
      <c r="M34" s="1">
        <f t="shared" si="2"/>
        <v>-3.5</v>
      </c>
      <c r="N34" s="1">
        <v>3</v>
      </c>
      <c r="O34" s="31">
        <f t="shared" ref="O34:O55" si="3">N34/$N$57</f>
        <v>6.0000000000000001E-3</v>
      </c>
    </row>
    <row r="35" spans="4:15" x14ac:dyDescent="0.35">
      <c r="D35" s="1">
        <v>0.49054941470740604</v>
      </c>
      <c r="E35" s="1">
        <v>15.041477970871346</v>
      </c>
      <c r="F35" s="1">
        <v>20.541904658077225</v>
      </c>
      <c r="G35" s="1">
        <v>1.5551841589714082</v>
      </c>
      <c r="M35" s="1">
        <f t="shared" si="2"/>
        <v>-3</v>
      </c>
      <c r="N35" s="1">
        <v>6</v>
      </c>
      <c r="O35" s="31">
        <f t="shared" si="3"/>
        <v>1.2E-2</v>
      </c>
    </row>
    <row r="36" spans="4:15" x14ac:dyDescent="0.35">
      <c r="D36" s="1">
        <v>0.41108684052527444</v>
      </c>
      <c r="E36" s="1">
        <v>15.240499191849963</v>
      </c>
      <c r="F36" s="1">
        <v>18.690477927190262</v>
      </c>
      <c r="G36" s="1">
        <v>3.6806521925610349</v>
      </c>
      <c r="M36" s="1">
        <f t="shared" si="2"/>
        <v>-2.5</v>
      </c>
      <c r="N36" s="1">
        <v>9</v>
      </c>
      <c r="O36" s="31">
        <f t="shared" si="3"/>
        <v>1.7999999999999999E-2</v>
      </c>
    </row>
    <row r="37" spans="4:15" x14ac:dyDescent="0.35">
      <c r="D37" s="1">
        <v>0.49104863428838491</v>
      </c>
      <c r="E37" s="1">
        <v>15.659305438169852</v>
      </c>
      <c r="F37" s="1">
        <v>20.939094016559366</v>
      </c>
      <c r="G37" s="1">
        <v>2.0522586371402021</v>
      </c>
      <c r="M37" s="1">
        <f t="shared" si="2"/>
        <v>-2</v>
      </c>
      <c r="N37" s="1">
        <v>11</v>
      </c>
      <c r="O37" s="31">
        <f t="shared" si="3"/>
        <v>2.1999999999999999E-2</v>
      </c>
    </row>
    <row r="38" spans="4:15" x14ac:dyDescent="0.35">
      <c r="D38" s="1">
        <v>0.52079031675038678</v>
      </c>
      <c r="E38" s="1">
        <v>18.177658636258951</v>
      </c>
      <c r="F38" s="1">
        <v>22.70851180980199</v>
      </c>
      <c r="G38" s="1">
        <v>3.2524292071647456</v>
      </c>
      <c r="M38" s="1">
        <f t="shared" si="2"/>
        <v>-1.5</v>
      </c>
      <c r="N38" s="1">
        <v>15</v>
      </c>
      <c r="O38" s="31">
        <f t="shared" si="3"/>
        <v>0.03</v>
      </c>
    </row>
    <row r="39" spans="4:15" x14ac:dyDescent="0.35">
      <c r="D39" s="1">
        <v>0.47561385798528383</v>
      </c>
      <c r="E39" s="1">
        <v>14.910415385115941</v>
      </c>
      <c r="F39" s="1">
        <v>19.92415334975054</v>
      </c>
      <c r="G39" s="1">
        <v>1.8077018744490703</v>
      </c>
      <c r="M39" s="1">
        <f t="shared" si="2"/>
        <v>-1</v>
      </c>
      <c r="N39" s="1">
        <v>27</v>
      </c>
      <c r="O39" s="31">
        <f t="shared" si="3"/>
        <v>5.3999999999999999E-2</v>
      </c>
    </row>
    <row r="40" spans="4:15" x14ac:dyDescent="0.35">
      <c r="D40" s="1">
        <v>0.49580638492567514</v>
      </c>
      <c r="E40" s="1">
        <v>10.056247800274956</v>
      </c>
      <c r="F40" s="1">
        <v>19.91320163840793</v>
      </c>
      <c r="G40" s="1">
        <v>-2.6434626677923569</v>
      </c>
      <c r="M40" s="1">
        <f t="shared" si="2"/>
        <v>-0.5</v>
      </c>
      <c r="N40" s="1">
        <v>28</v>
      </c>
      <c r="O40" s="31">
        <f t="shared" si="3"/>
        <v>5.6000000000000001E-2</v>
      </c>
    </row>
    <row r="41" spans="4:15" x14ac:dyDescent="0.35">
      <c r="D41" s="1">
        <v>0.55954730966831845</v>
      </c>
      <c r="E41" s="1">
        <v>15.793227859759314</v>
      </c>
      <c r="F41" s="1">
        <v>20.981540301950588</v>
      </c>
      <c r="G41" s="1">
        <v>0.41066707571775762</v>
      </c>
      <c r="M41" s="1">
        <f t="shared" si="2"/>
        <v>0</v>
      </c>
      <c r="N41" s="1">
        <v>42</v>
      </c>
      <c r="O41" s="31">
        <f t="shared" si="3"/>
        <v>8.4000000000000005E-2</v>
      </c>
    </row>
    <row r="42" spans="4:15" x14ac:dyDescent="0.35">
      <c r="D42" s="1">
        <v>0.42186106187057038</v>
      </c>
      <c r="E42" s="1">
        <v>16.928450361243971</v>
      </c>
      <c r="F42" s="1">
        <v>19.378548131723132</v>
      </c>
      <c r="G42" s="1">
        <v>4.9951265007690715</v>
      </c>
      <c r="M42" s="1">
        <f t="shared" si="2"/>
        <v>0.5</v>
      </c>
      <c r="N42" s="1">
        <v>52</v>
      </c>
      <c r="O42" s="31">
        <f t="shared" si="3"/>
        <v>0.104</v>
      </c>
    </row>
    <row r="43" spans="4:15" x14ac:dyDescent="0.35">
      <c r="D43" s="1">
        <v>0.49575252818876975</v>
      </c>
      <c r="E43" s="1">
        <v>10.889934984799133</v>
      </c>
      <c r="F43" s="1">
        <v>20.941692776073022</v>
      </c>
      <c r="G43" s="1">
        <v>-1.9617821610626636</v>
      </c>
      <c r="M43" s="1">
        <f>ROUND(E20,0)</f>
        <v>1</v>
      </c>
      <c r="N43" s="1">
        <v>46</v>
      </c>
      <c r="O43" s="31">
        <f t="shared" si="3"/>
        <v>9.1999999999999998E-2</v>
      </c>
    </row>
    <row r="44" spans="4:15" x14ac:dyDescent="0.35">
      <c r="D44" s="1">
        <v>0.45754437945523341</v>
      </c>
      <c r="E44" s="1">
        <v>18.084149269123166</v>
      </c>
      <c r="F44" s="1">
        <v>20.576221958021389</v>
      </c>
      <c r="G44" s="1">
        <v>5.0321349542191527</v>
      </c>
      <c r="L44" s="30"/>
      <c r="M44" s="1">
        <f>M43+0.5</f>
        <v>1.5</v>
      </c>
      <c r="N44" s="1">
        <v>44</v>
      </c>
      <c r="O44" s="31">
        <f t="shared" si="3"/>
        <v>8.7999999999999995E-2</v>
      </c>
    </row>
    <row r="45" spans="4:15" x14ac:dyDescent="0.35">
      <c r="D45" s="1">
        <v>0.52968902809160812</v>
      </c>
      <c r="E45" s="1">
        <v>11.303171139422062</v>
      </c>
      <c r="F45" s="1">
        <v>20.432041947398385</v>
      </c>
      <c r="G45" s="1">
        <v>-2.2455417576821106</v>
      </c>
      <c r="M45" s="1">
        <f t="shared" ref="M45:M55" si="4">M44+0.5</f>
        <v>2</v>
      </c>
      <c r="N45" s="1">
        <v>45</v>
      </c>
      <c r="O45" s="31">
        <f t="shared" si="3"/>
        <v>0.09</v>
      </c>
    </row>
    <row r="46" spans="4:15" x14ac:dyDescent="0.35">
      <c r="D46" s="1">
        <v>0.49422821072165585</v>
      </c>
      <c r="E46" s="1">
        <v>17.784755045072171</v>
      </c>
      <c r="F46" s="1">
        <v>19.215162145026085</v>
      </c>
      <c r="G46" s="1">
        <v>3.7125507938435778</v>
      </c>
      <c r="M46" s="1">
        <f t="shared" si="4"/>
        <v>2.5</v>
      </c>
      <c r="N46" s="1">
        <v>40</v>
      </c>
      <c r="O46" s="31">
        <f t="shared" si="3"/>
        <v>0.08</v>
      </c>
    </row>
    <row r="47" spans="4:15" x14ac:dyDescent="0.35">
      <c r="D47" s="1">
        <v>0.54179743273085879</v>
      </c>
      <c r="E47" s="1">
        <v>15.083425090955782</v>
      </c>
      <c r="F47" s="1">
        <v>18.116935795981817</v>
      </c>
      <c r="G47" s="1">
        <v>0.33794347625081511</v>
      </c>
      <c r="M47" s="1">
        <f t="shared" si="4"/>
        <v>3</v>
      </c>
      <c r="N47" s="1">
        <v>34</v>
      </c>
      <c r="O47" s="31">
        <f t="shared" si="3"/>
        <v>6.8000000000000005E-2</v>
      </c>
    </row>
    <row r="48" spans="4:15" x14ac:dyDescent="0.35">
      <c r="D48" s="1">
        <v>0.46874125552917928</v>
      </c>
      <c r="E48" s="1">
        <v>14.958556400051513</v>
      </c>
      <c r="F48" s="1">
        <v>20.237515453171838</v>
      </c>
      <c r="G48" s="1">
        <v>2.0150738244194586</v>
      </c>
      <c r="M48" s="1">
        <f t="shared" si="4"/>
        <v>3.5</v>
      </c>
      <c r="N48" s="1">
        <v>29</v>
      </c>
      <c r="O48" s="31">
        <f t="shared" si="3"/>
        <v>5.8000000000000003E-2</v>
      </c>
    </row>
    <row r="49" spans="4:15" x14ac:dyDescent="0.35">
      <c r="D49" s="1">
        <v>0.45028222705869203</v>
      </c>
      <c r="E49" s="1">
        <v>16.779532904008821</v>
      </c>
      <c r="F49" s="1">
        <v>18.748362387038632</v>
      </c>
      <c r="G49" s="1">
        <v>4.083378830634266</v>
      </c>
      <c r="M49" s="1">
        <f t="shared" si="4"/>
        <v>4</v>
      </c>
      <c r="N49" s="1">
        <v>24</v>
      </c>
      <c r="O49" s="31">
        <f t="shared" si="3"/>
        <v>4.8000000000000001E-2</v>
      </c>
    </row>
    <row r="50" spans="4:15" x14ac:dyDescent="0.35">
      <c r="D50" s="1">
        <v>0.50815332405125591</v>
      </c>
      <c r="E50" s="1">
        <v>13.092138301042958</v>
      </c>
      <c r="F50" s="1">
        <v>20.313964467389365</v>
      </c>
      <c r="G50" s="1">
        <v>-0.42635165832258803</v>
      </c>
      <c r="M50" s="1">
        <f t="shared" si="4"/>
        <v>4.5</v>
      </c>
      <c r="N50" s="1">
        <v>13</v>
      </c>
      <c r="O50" s="31">
        <f t="shared" si="3"/>
        <v>2.5999999999999999E-2</v>
      </c>
    </row>
    <row r="51" spans="4:15" x14ac:dyDescent="0.35">
      <c r="D51" s="1">
        <v>0.54998486679686198</v>
      </c>
      <c r="E51" s="1">
        <v>14.284971393869899</v>
      </c>
      <c r="F51" s="1">
        <v>19.619980063755534</v>
      </c>
      <c r="G51" s="1">
        <v>-0.44395764346321348</v>
      </c>
      <c r="M51" s="1">
        <f t="shared" si="4"/>
        <v>5</v>
      </c>
      <c r="N51" s="1">
        <v>5</v>
      </c>
      <c r="O51" s="31">
        <f t="shared" si="3"/>
        <v>0.01</v>
      </c>
    </row>
    <row r="52" spans="4:15" x14ac:dyDescent="0.35">
      <c r="D52" s="1">
        <v>0.50376508871846737</v>
      </c>
      <c r="E52" s="1">
        <v>21.855644041192651</v>
      </c>
      <c r="F52" s="1">
        <v>19.422069408622903</v>
      </c>
      <c r="G52" s="1">
        <v>6.7094035663564267</v>
      </c>
      <c r="M52" s="1">
        <f t="shared" si="4"/>
        <v>5.5</v>
      </c>
      <c r="N52" s="1">
        <v>8</v>
      </c>
      <c r="O52" s="31">
        <f t="shared" si="3"/>
        <v>1.6E-2</v>
      </c>
    </row>
    <row r="53" spans="4:15" x14ac:dyDescent="0.35">
      <c r="D53" s="1">
        <v>0.46052491701790688</v>
      </c>
      <c r="E53" s="1">
        <v>11.945003009994604</v>
      </c>
      <c r="F53" s="1">
        <v>21.226105294264713</v>
      </c>
      <c r="G53" s="1">
        <v>-0.41872912590627032</v>
      </c>
      <c r="M53" s="1">
        <f t="shared" si="4"/>
        <v>6</v>
      </c>
      <c r="N53" s="1">
        <v>8</v>
      </c>
      <c r="O53" s="31">
        <f t="shared" si="3"/>
        <v>1.6E-2</v>
      </c>
    </row>
    <row r="54" spans="4:15" x14ac:dyDescent="0.35">
      <c r="D54" s="1">
        <v>0.47616646278018121</v>
      </c>
      <c r="E54" s="1">
        <v>12.542713637231898</v>
      </c>
      <c r="F54" s="1">
        <v>20.284453523736538</v>
      </c>
      <c r="G54" s="1">
        <v>-0.21424977560342992</v>
      </c>
      <c r="M54" s="1">
        <f t="shared" si="4"/>
        <v>6.5</v>
      </c>
      <c r="N54" s="1">
        <v>6</v>
      </c>
      <c r="O54" s="31">
        <f t="shared" si="3"/>
        <v>1.2E-2</v>
      </c>
    </row>
    <row r="55" spans="4:15" x14ac:dyDescent="0.35">
      <c r="D55" s="1">
        <v>0.44014818454530258</v>
      </c>
      <c r="E55" s="1">
        <v>11.538575811732473</v>
      </c>
      <c r="F55" s="1">
        <v>20.702122398967557</v>
      </c>
      <c r="G55" s="1">
        <v>-0.39304239263582152</v>
      </c>
      <c r="M55" s="1">
        <f t="shared" si="4"/>
        <v>7</v>
      </c>
      <c r="N55" s="1">
        <v>5</v>
      </c>
      <c r="O55" s="31">
        <f t="shared" si="3"/>
        <v>0.01</v>
      </c>
    </row>
    <row r="56" spans="4:15" x14ac:dyDescent="0.35">
      <c r="D56" s="1">
        <v>0.53181570549438528</v>
      </c>
      <c r="E56" s="1">
        <v>11.146149296688273</v>
      </c>
      <c r="F56" s="1">
        <v>19.401372316695024</v>
      </c>
      <c r="G56" s="1">
        <v>-2.4035272079221177</v>
      </c>
    </row>
    <row r="57" spans="4:15" x14ac:dyDescent="0.35">
      <c r="D57" s="1">
        <v>0.55077138803916414</v>
      </c>
      <c r="E57" s="1">
        <v>15.506360784948839</v>
      </c>
      <c r="F57" s="1">
        <v>20.016012300144133</v>
      </c>
      <c r="G57" s="1">
        <v>0.42642658519118198</v>
      </c>
      <c r="N57" s="1">
        <f>SUM(N33:N55)</f>
        <v>500</v>
      </c>
      <c r="O57" s="1">
        <f>SUM(O33:O55)</f>
        <v>1</v>
      </c>
    </row>
    <row r="58" spans="4:15" x14ac:dyDescent="0.35">
      <c r="D58" s="1">
        <v>0.51016167583220873</v>
      </c>
      <c r="E58" s="1">
        <v>19.173225140429274</v>
      </c>
      <c r="F58" s="1">
        <v>18.899540833448793</v>
      </c>
      <c r="G58" s="1">
        <v>4.3550834150524231</v>
      </c>
    </row>
    <row r="59" spans="4:15" x14ac:dyDescent="0.35">
      <c r="D59" s="1">
        <v>0.58440461037082958</v>
      </c>
      <c r="E59" s="1">
        <v>15.067221459993789</v>
      </c>
      <c r="F59" s="1">
        <v>20.953448678958264</v>
      </c>
      <c r="G59" s="1">
        <v>-0.71373912876326062</v>
      </c>
    </row>
    <row r="60" spans="4:15" x14ac:dyDescent="0.35">
      <c r="D60" s="1">
        <v>0.54641730504081576</v>
      </c>
      <c r="E60" s="1">
        <v>15.861013103416285</v>
      </c>
      <c r="F60" s="1">
        <v>19.95403035133927</v>
      </c>
      <c r="G60" s="1">
        <v>0.79628302998937939</v>
      </c>
    </row>
    <row r="61" spans="4:15" x14ac:dyDescent="0.35">
      <c r="D61" s="1">
        <v>0.5080264502737154</v>
      </c>
      <c r="E61" s="1">
        <v>18.945178472467443</v>
      </c>
      <c r="F61" s="1">
        <v>19.275021675745982</v>
      </c>
      <c r="G61" s="1">
        <v>4.2396895551239613</v>
      </c>
    </row>
    <row r="62" spans="4:15" x14ac:dyDescent="0.35">
      <c r="D62" s="1">
        <v>0.51028242699523985</v>
      </c>
      <c r="E62" s="1">
        <v>13.140003270175763</v>
      </c>
      <c r="F62" s="1">
        <v>20.555018366070794</v>
      </c>
      <c r="G62" s="1">
        <v>-0.43353273430638767</v>
      </c>
      <c r="M62" s="14" t="s">
        <v>24</v>
      </c>
      <c r="N62" s="14" t="s">
        <v>22</v>
      </c>
      <c r="O62" s="14" t="s">
        <v>23</v>
      </c>
    </row>
    <row r="63" spans="4:15" x14ac:dyDescent="0.35">
      <c r="D63" s="1">
        <v>0.49525194852264726</v>
      </c>
      <c r="E63" s="1">
        <v>16.677406813892048</v>
      </c>
      <c r="F63" s="1">
        <v>21.485023051709867</v>
      </c>
      <c r="G63" s="1">
        <v>2.7778876317955574</v>
      </c>
      <c r="M63" s="1">
        <f>M64-0.5*E22</f>
        <v>0</v>
      </c>
      <c r="N63" s="1">
        <f t="array" ref="N63:N65">FREQUENCY(G30:G1030,M63:M65)</f>
        <v>141</v>
      </c>
      <c r="O63" s="1">
        <f>N63/$N$67</f>
        <v>0.4298780487804878</v>
      </c>
    </row>
    <row r="64" spans="4:15" x14ac:dyDescent="0.35">
      <c r="D64" s="1">
        <v>0.47687501161309559</v>
      </c>
      <c r="E64" s="1">
        <v>12.276310341324397</v>
      </c>
      <c r="F64" s="1">
        <v>20.216163373752149</v>
      </c>
      <c r="G64" s="1">
        <v>-0.45433622544175434</v>
      </c>
      <c r="M64" s="1">
        <f>M43</f>
        <v>1</v>
      </c>
      <c r="N64" s="1">
        <v>98</v>
      </c>
      <c r="O64" s="1">
        <f t="shared" ref="O64:O65" si="5">N64/$N$67</f>
        <v>0.29878048780487804</v>
      </c>
    </row>
    <row r="65" spans="4:15" x14ac:dyDescent="0.35">
      <c r="D65" s="1">
        <v>0.57670906884653905</v>
      </c>
      <c r="E65" s="1">
        <v>16.12491667293575</v>
      </c>
      <c r="F65" s="1">
        <v>19.858545944436887</v>
      </c>
      <c r="G65" s="1">
        <v>0.1991006568151176</v>
      </c>
      <c r="M65" s="1">
        <f>M64+0.5*E22</f>
        <v>2</v>
      </c>
      <c r="N65" s="1">
        <v>89</v>
      </c>
      <c r="O65" s="1">
        <f t="shared" si="5"/>
        <v>0.27134146341463417</v>
      </c>
    </row>
    <row r="66" spans="4:15" x14ac:dyDescent="0.35">
      <c r="D66" s="1">
        <v>0.48858760102157367</v>
      </c>
      <c r="E66" s="1">
        <v>17.577391933794399</v>
      </c>
      <c r="F66" s="1">
        <v>19.750118130089987</v>
      </c>
      <c r="G66" s="1">
        <v>3.7032692384934065</v>
      </c>
    </row>
    <row r="67" spans="4:15" x14ac:dyDescent="0.35">
      <c r="D67" s="1">
        <v>0.50727013068360549</v>
      </c>
      <c r="E67" s="1">
        <v>17.10406841133236</v>
      </c>
      <c r="F67" s="1">
        <v>20.350050927369818</v>
      </c>
      <c r="G67" s="1">
        <v>2.7937533270801369</v>
      </c>
      <c r="N67" s="1">
        <f>SUM(N63:N65)</f>
        <v>328</v>
      </c>
      <c r="O67" s="1">
        <f>SUM(O63:O65)</f>
        <v>1</v>
      </c>
    </row>
    <row r="68" spans="4:15" x14ac:dyDescent="0.35">
      <c r="D68" s="1">
        <v>0.48110605313160304</v>
      </c>
      <c r="E68" s="1">
        <v>14.105391659961565</v>
      </c>
      <c r="F68" s="1">
        <v>20.394114716295945</v>
      </c>
      <c r="G68" s="1">
        <v>0.99859021012614824</v>
      </c>
    </row>
    <row r="69" spans="4:15" x14ac:dyDescent="0.35">
      <c r="D69" s="1">
        <v>0.4144797465474408</v>
      </c>
      <c r="E69" s="1">
        <v>16.602765514237213</v>
      </c>
      <c r="F69" s="1">
        <v>18.932850666447322</v>
      </c>
      <c r="G69" s="1">
        <v>4.888660696505414</v>
      </c>
    </row>
    <row r="70" spans="4:15" x14ac:dyDescent="0.35">
      <c r="D70" s="1">
        <v>0.46860023917908733</v>
      </c>
      <c r="E70" s="1">
        <v>12.478342314217393</v>
      </c>
      <c r="F70" s="1">
        <v>18.397530485425484</v>
      </c>
      <c r="G70" s="1">
        <v>-0.11595710695441391</v>
      </c>
    </row>
    <row r="71" spans="4:15" x14ac:dyDescent="0.35">
      <c r="D71" s="1">
        <v>0.50862750331620366</v>
      </c>
      <c r="E71" s="1">
        <v>15.886745632893248</v>
      </c>
      <c r="F71" s="1">
        <v>19.74787145358777</v>
      </c>
      <c r="G71" s="1">
        <v>1.7874497702830439</v>
      </c>
    </row>
    <row r="72" spans="4:15" x14ac:dyDescent="0.35">
      <c r="D72" s="1">
        <v>0.44641306702461286</v>
      </c>
      <c r="E72" s="1">
        <v>14.217827671557375</v>
      </c>
      <c r="F72" s="1">
        <v>22.556329994262619</v>
      </c>
      <c r="G72" s="1">
        <v>1.8918959314401957</v>
      </c>
    </row>
    <row r="73" spans="4:15" x14ac:dyDescent="0.35">
      <c r="D73" s="1">
        <v>0.5141817341111643</v>
      </c>
      <c r="E73" s="1">
        <v>14.320632602175239</v>
      </c>
      <c r="F73" s="1">
        <v>20.753377044056379</v>
      </c>
      <c r="G73" s="1">
        <v>0.4123759438941918</v>
      </c>
      <c r="M73" s="16" t="s">
        <v>21</v>
      </c>
      <c r="N73" s="16" t="s">
        <v>22</v>
      </c>
      <c r="O73" s="16" t="s">
        <v>25</v>
      </c>
    </row>
    <row r="74" spans="4:15" x14ac:dyDescent="0.35">
      <c r="D74" s="1">
        <v>0.40423448372403198</v>
      </c>
      <c r="E74" s="1">
        <v>15.725427917996317</v>
      </c>
      <c r="F74" s="1">
        <v>20.783519153817558</v>
      </c>
      <c r="G74" s="1">
        <v>4.3176527773558568</v>
      </c>
      <c r="M74" s="1">
        <v>0</v>
      </c>
      <c r="N74" s="1">
        <f t="array" ref="N74:N75">FREQUENCY(G30:G1030,M74)</f>
        <v>141</v>
      </c>
      <c r="O74" s="1">
        <f>N74/$N$77</f>
        <v>0.28199999999999997</v>
      </c>
    </row>
    <row r="75" spans="4:15" x14ac:dyDescent="0.35">
      <c r="D75" s="1">
        <v>0.42070045169421344</v>
      </c>
      <c r="E75" s="1">
        <v>15.749601614733781</v>
      </c>
      <c r="F75" s="1">
        <v>19.943944045153945</v>
      </c>
      <c r="G75" s="1">
        <v>3.9209932633886337</v>
      </c>
      <c r="N75" s="1">
        <v>359</v>
      </c>
      <c r="O75" s="1">
        <f>N75/$N$77</f>
        <v>0.71799999999999997</v>
      </c>
    </row>
    <row r="76" spans="4:15" x14ac:dyDescent="0.35">
      <c r="D76" s="1">
        <v>0.53133250835915735</v>
      </c>
      <c r="E76" s="1">
        <v>14.082619783583908</v>
      </c>
      <c r="F76" s="1">
        <v>19.394680993944611</v>
      </c>
      <c r="G76" s="1">
        <v>-0.16603463483966283</v>
      </c>
    </row>
    <row r="77" spans="4:15" x14ac:dyDescent="0.35">
      <c r="D77" s="1">
        <v>0.57639453042712285</v>
      </c>
      <c r="E77" s="1">
        <v>16.588224443825872</v>
      </c>
      <c r="F77" s="1">
        <v>19.36303919062027</v>
      </c>
      <c r="G77" s="1">
        <v>0.52515263022378467</v>
      </c>
      <c r="N77" s="1">
        <f>SUM(N74:N75)</f>
        <v>500</v>
      </c>
      <c r="O77" s="1">
        <f>SUM(O74:O75)</f>
        <v>1</v>
      </c>
    </row>
    <row r="78" spans="4:15" x14ac:dyDescent="0.35">
      <c r="D78" s="1">
        <v>0.42466207230095598</v>
      </c>
      <c r="E78" s="1">
        <v>16.083853613755924</v>
      </c>
      <c r="F78" s="1">
        <v>20.530089118489204</v>
      </c>
      <c r="G78" s="1">
        <v>4.1313858844180711</v>
      </c>
    </row>
    <row r="79" spans="4:15" x14ac:dyDescent="0.35">
      <c r="D79" s="1">
        <v>0.54066803872314717</v>
      </c>
      <c r="E79" s="1">
        <v>13.176197025462395</v>
      </c>
      <c r="F79" s="1">
        <v>18.704477728140287</v>
      </c>
      <c r="G79" s="1">
        <v>-1.0532129085406587</v>
      </c>
    </row>
    <row r="80" spans="4:15" x14ac:dyDescent="0.35">
      <c r="D80" s="1">
        <v>0.58286657511710049</v>
      </c>
      <c r="E80" s="1">
        <v>13.252267811450116</v>
      </c>
      <c r="F80" s="1">
        <v>21.084915710337285</v>
      </c>
      <c r="G80" s="1">
        <v>-1.9022798520782058</v>
      </c>
    </row>
    <row r="81" spans="4:7" x14ac:dyDescent="0.35">
      <c r="D81" s="1">
        <v>0.46965344634340284</v>
      </c>
      <c r="E81" s="1">
        <v>16.625113225398657</v>
      </c>
      <c r="F81" s="1">
        <v>19.499451235160638</v>
      </c>
      <c r="G81" s="1">
        <v>3.4243552906357411</v>
      </c>
    </row>
    <row r="82" spans="4:7" x14ac:dyDescent="0.35">
      <c r="D82" s="1">
        <v>0.50437285730002512</v>
      </c>
      <c r="E82" s="1">
        <v>14.965374764540579</v>
      </c>
      <c r="F82" s="1">
        <v>21.340647291784101</v>
      </c>
      <c r="G82" s="1">
        <v>1.1573695671925717</v>
      </c>
    </row>
    <row r="83" spans="4:7" x14ac:dyDescent="0.35">
      <c r="D83" s="1">
        <v>0.44269145396382564</v>
      </c>
      <c r="E83" s="1">
        <v>15.234307035978169</v>
      </c>
      <c r="F83" s="1">
        <v>21.199998376980808</v>
      </c>
      <c r="G83" s="1">
        <v>2.8950097050960548</v>
      </c>
    </row>
    <row r="84" spans="4:7" x14ac:dyDescent="0.35">
      <c r="D84" s="1">
        <v>0.52323801887826626</v>
      </c>
      <c r="E84" s="1">
        <v>14.7422176793488</v>
      </c>
      <c r="F84" s="1">
        <v>19.889639003063916</v>
      </c>
      <c r="G84" s="1">
        <v>0.52785116851970837</v>
      </c>
    </row>
    <row r="85" spans="4:7" x14ac:dyDescent="0.35">
      <c r="D85" s="1">
        <v>0.44218420636654676</v>
      </c>
      <c r="E85" s="1">
        <v>10.879685925448097</v>
      </c>
      <c r="F85" s="1">
        <v>21.560869300161837</v>
      </c>
      <c r="G85" s="1">
        <v>-1.0263098001450914</v>
      </c>
    </row>
    <row r="86" spans="4:7" x14ac:dyDescent="0.35">
      <c r="D86" s="1">
        <v>0.48994083391973747</v>
      </c>
      <c r="E86" s="1">
        <v>12.703344429427943</v>
      </c>
      <c r="F86" s="1">
        <v>20.602671775700184</v>
      </c>
      <c r="G86" s="1">
        <v>-0.36135788598348512</v>
      </c>
    </row>
    <row r="87" spans="4:7" x14ac:dyDescent="0.35">
      <c r="D87" s="1">
        <v>0.47342645806930328</v>
      </c>
      <c r="E87" s="1">
        <v>19.793672661420914</v>
      </c>
      <c r="F87" s="1">
        <v>20.079810746238866</v>
      </c>
      <c r="G87" s="1">
        <v>6.0248355172470838</v>
      </c>
    </row>
    <row r="88" spans="4:7" x14ac:dyDescent="0.35">
      <c r="D88" s="1">
        <v>0.50204152527305801</v>
      </c>
      <c r="E88" s="1">
        <v>13.315371046704863</v>
      </c>
      <c r="F88" s="1">
        <v>21.50634314466954</v>
      </c>
      <c r="G88" s="1">
        <v>-0.11674460106994962</v>
      </c>
    </row>
    <row r="89" spans="4:7" x14ac:dyDescent="0.35">
      <c r="D89" s="1">
        <v>0.46682739214871516</v>
      </c>
      <c r="E89" s="1">
        <v>16.242929109013758</v>
      </c>
      <c r="F89" s="1">
        <v>19.500766285792814</v>
      </c>
      <c r="G89" s="1">
        <v>3.1704429018277862</v>
      </c>
    </row>
    <row r="90" spans="4:7" x14ac:dyDescent="0.35">
      <c r="D90" s="1">
        <v>0.50852138936857461</v>
      </c>
      <c r="E90" s="1">
        <v>16.864599079466856</v>
      </c>
      <c r="F90" s="1">
        <v>19.06662539569167</v>
      </c>
      <c r="G90" s="1">
        <v>2.5684910501401541</v>
      </c>
    </row>
    <row r="91" spans="4:7" x14ac:dyDescent="0.35">
      <c r="D91" s="1">
        <v>0.42169365852881857</v>
      </c>
      <c r="E91" s="1">
        <v>12.455026455855567</v>
      </c>
      <c r="F91" s="1">
        <v>20.581457137999383</v>
      </c>
      <c r="G91" s="1">
        <v>0.81011290351912635</v>
      </c>
    </row>
    <row r="92" spans="4:7" x14ac:dyDescent="0.35">
      <c r="D92" s="1">
        <v>0.4373972963434587</v>
      </c>
      <c r="E92" s="1">
        <v>14.75558276742486</v>
      </c>
      <c r="F92" s="1">
        <v>19.902866247881832</v>
      </c>
      <c r="G92" s="1">
        <v>2.5894487617385167</v>
      </c>
    </row>
    <row r="93" spans="4:7" x14ac:dyDescent="0.35">
      <c r="D93" s="1">
        <v>0.51712345935074311</v>
      </c>
      <c r="E93" s="1">
        <v>16.713680218524203</v>
      </c>
      <c r="F93" s="1">
        <v>20.616267028679321</v>
      </c>
      <c r="G93" s="1">
        <v>2.2155330367020216</v>
      </c>
    </row>
    <row r="94" spans="4:7" x14ac:dyDescent="0.35">
      <c r="D94" s="1">
        <v>0.43242925923642245</v>
      </c>
      <c r="E94" s="1">
        <v>14.130948810192528</v>
      </c>
      <c r="F94" s="1">
        <v>20.576513728826818</v>
      </c>
      <c r="G94" s="1">
        <v>2.1340231225694586</v>
      </c>
    </row>
    <row r="95" spans="4:7" x14ac:dyDescent="0.35">
      <c r="D95" s="1">
        <v>0.37995944275395238</v>
      </c>
      <c r="E95" s="1">
        <v>14.534173272407433</v>
      </c>
      <c r="F95" s="1">
        <v>19.44831281454935</v>
      </c>
      <c r="G95" s="1">
        <v>3.7396762512895232</v>
      </c>
    </row>
    <row r="96" spans="4:7" x14ac:dyDescent="0.35">
      <c r="D96" s="1">
        <v>0.53413138389760206</v>
      </c>
      <c r="E96" s="1">
        <v>15.82830627564551</v>
      </c>
      <c r="F96" s="1">
        <v>21.052947196687949</v>
      </c>
      <c r="G96" s="1">
        <v>1.0871898521488474</v>
      </c>
    </row>
    <row r="97" spans="4:7" x14ac:dyDescent="0.35">
      <c r="D97" s="1">
        <v>0.43069106807639729</v>
      </c>
      <c r="E97" s="1">
        <v>18.320050194054414</v>
      </c>
      <c r="F97" s="1">
        <v>22.412854595322852</v>
      </c>
      <c r="G97" s="1">
        <v>6.0360809855765423</v>
      </c>
    </row>
    <row r="98" spans="4:7" x14ac:dyDescent="0.35">
      <c r="D98" s="1">
        <v>0.63654007654631917</v>
      </c>
      <c r="E98" s="1">
        <v>15.415636764400313</v>
      </c>
      <c r="F98" s="1">
        <v>19.290474408020856</v>
      </c>
      <c r="G98" s="1">
        <v>-1.7808153323803158</v>
      </c>
    </row>
    <row r="99" spans="4:7" x14ac:dyDescent="0.35">
      <c r="D99" s="1">
        <v>0.48365701155514756</v>
      </c>
      <c r="E99" s="1">
        <v>13.638503146397673</v>
      </c>
      <c r="F99" s="1">
        <v>20.441086519931677</v>
      </c>
      <c r="G99" s="1">
        <v>0.54990288730222525</v>
      </c>
    </row>
    <row r="100" spans="4:7" x14ac:dyDescent="0.35">
      <c r="D100" s="1">
        <v>0.51916636350555156</v>
      </c>
      <c r="E100" s="1">
        <v>15.159827133193627</v>
      </c>
      <c r="F100" s="1">
        <v>19.107932535184823</v>
      </c>
      <c r="G100" s="1">
        <v>0.9502527944480359</v>
      </c>
    </row>
    <row r="101" spans="4:7" x14ac:dyDescent="0.35">
      <c r="D101" s="1">
        <v>0.39411080699032952</v>
      </c>
      <c r="E101" s="1">
        <v>13.466416949156114</v>
      </c>
      <c r="F101" s="1">
        <v>21.219647444239754</v>
      </c>
      <c r="G101" s="1">
        <v>2.3588768790757899</v>
      </c>
    </row>
    <row r="102" spans="4:7" x14ac:dyDescent="0.35">
      <c r="D102" s="1">
        <v>0.58782170324565386</v>
      </c>
      <c r="E102" s="1">
        <v>15.632089288557712</v>
      </c>
      <c r="F102" s="1">
        <v>19.419070544287962</v>
      </c>
      <c r="G102" s="1">
        <v>-0.42006285026676243</v>
      </c>
    </row>
    <row r="103" spans="4:7" x14ac:dyDescent="0.35">
      <c r="D103" s="1">
        <v>0.50263056754144619</v>
      </c>
      <c r="E103" s="1">
        <v>17.293751313730667</v>
      </c>
      <c r="F103" s="1">
        <v>20.098980460971177</v>
      </c>
      <c r="G103" s="1">
        <v>3.0750531042548492</v>
      </c>
    </row>
    <row r="104" spans="4:7" x14ac:dyDescent="0.35">
      <c r="D104" s="1">
        <v>0.50374737624331278</v>
      </c>
      <c r="E104" s="1">
        <v>11.944395485684481</v>
      </c>
      <c r="F104" s="1">
        <v>20.388570614281512</v>
      </c>
      <c r="G104" s="1">
        <v>-1.2553412021644874</v>
      </c>
    </row>
    <row r="105" spans="4:7" x14ac:dyDescent="0.35">
      <c r="D105" s="1">
        <v>0.45280120198932478</v>
      </c>
      <c r="E105" s="1">
        <v>16.193699910318916</v>
      </c>
      <c r="F105" s="1">
        <v>18.082916147224367</v>
      </c>
      <c r="G105" s="1">
        <v>3.4957768677151209</v>
      </c>
    </row>
    <row r="106" spans="4:7" x14ac:dyDescent="0.35">
      <c r="D106" s="1">
        <v>0.47144089956509777</v>
      </c>
      <c r="E106" s="1">
        <v>16.624754509793235</v>
      </c>
      <c r="F106" s="1">
        <v>20.066055431899628</v>
      </c>
      <c r="G106" s="1">
        <v>3.3759228551847653</v>
      </c>
    </row>
    <row r="107" spans="4:7" x14ac:dyDescent="0.35">
      <c r="D107" s="1">
        <v>0.46575415568339046</v>
      </c>
      <c r="E107" s="1">
        <v>16.781834515074461</v>
      </c>
      <c r="F107" s="1">
        <v>20.689332300469538</v>
      </c>
      <c r="G107" s="1">
        <v>3.6649348717301722</v>
      </c>
    </row>
    <row r="108" spans="4:7" x14ac:dyDescent="0.35">
      <c r="D108" s="1">
        <v>0.50454845257018854</v>
      </c>
      <c r="E108" s="1">
        <v>17.021824423202133</v>
      </c>
      <c r="F108" s="1">
        <v>20.437817349760735</v>
      </c>
      <c r="G108" s="1">
        <v>2.8031525424472128</v>
      </c>
    </row>
    <row r="109" spans="4:7" x14ac:dyDescent="0.35">
      <c r="D109" s="1">
        <v>0.55756115847580545</v>
      </c>
      <c r="E109" s="1">
        <v>15.605542124957278</v>
      </c>
      <c r="F109" s="1">
        <v>21.13541094820286</v>
      </c>
      <c r="G109" s="1">
        <v>0.32698589731147287</v>
      </c>
    </row>
    <row r="110" spans="4:7" x14ac:dyDescent="0.35">
      <c r="D110" s="1">
        <v>0.60041234039887215</v>
      </c>
      <c r="E110" s="1">
        <v>12.728860408502221</v>
      </c>
      <c r="F110" s="1">
        <v>20.089294144627928</v>
      </c>
      <c r="G110" s="1">
        <v>-2.6175516667199066</v>
      </c>
    </row>
    <row r="111" spans="4:7" x14ac:dyDescent="0.35">
      <c r="D111" s="1">
        <v>0.59952673825208536</v>
      </c>
      <c r="E111" s="1">
        <v>14.881055684779705</v>
      </c>
      <c r="F111" s="1">
        <v>20.055132989138087</v>
      </c>
      <c r="G111" s="1">
        <v>-1.2034737018745154</v>
      </c>
    </row>
    <row r="112" spans="4:7" x14ac:dyDescent="0.35">
      <c r="D112" s="1">
        <v>0.53346557146825058</v>
      </c>
      <c r="E112" s="1">
        <v>15.510124396157556</v>
      </c>
      <c r="F112" s="1">
        <v>19.317793658281797</v>
      </c>
      <c r="G112" s="1">
        <v>0.86385726402488161</v>
      </c>
    </row>
    <row r="113" spans="4:7" x14ac:dyDescent="0.35">
      <c r="D113" s="1">
        <v>0.46874331925208523</v>
      </c>
      <c r="E113" s="1">
        <v>14.201129306250628</v>
      </c>
      <c r="F113" s="1">
        <v>18.225001715657381</v>
      </c>
      <c r="G113" s="1">
        <v>1.3633652717195277</v>
      </c>
    </row>
    <row r="114" spans="4:7" x14ac:dyDescent="0.35">
      <c r="D114" s="1">
        <v>0.44374278188034444</v>
      </c>
      <c r="E114" s="1">
        <v>11.814886823625569</v>
      </c>
      <c r="F114" s="1">
        <v>20.607478083735632</v>
      </c>
      <c r="G114" s="1">
        <v>-0.21129904589835</v>
      </c>
    </row>
    <row r="115" spans="4:7" x14ac:dyDescent="0.35">
      <c r="D115" s="1">
        <v>0.44894822273879309</v>
      </c>
      <c r="E115" s="1">
        <v>10.728772502576078</v>
      </c>
      <c r="F115" s="1">
        <v>20.906078788277451</v>
      </c>
      <c r="G115" s="1">
        <v>-1.2801652684823448</v>
      </c>
    </row>
    <row r="116" spans="4:7" x14ac:dyDescent="0.35">
      <c r="D116" s="1">
        <v>0.55665374457262262</v>
      </c>
      <c r="E116" s="1">
        <v>20.107540355015995</v>
      </c>
      <c r="F116" s="1">
        <v>20.226763327340098</v>
      </c>
      <c r="G116" s="1">
        <v>3.5823048851725292</v>
      </c>
    </row>
    <row r="117" spans="4:7" x14ac:dyDescent="0.35">
      <c r="D117" s="1">
        <v>0.49280389543552239</v>
      </c>
      <c r="E117" s="1">
        <v>12.537574164663065</v>
      </c>
      <c r="F117" s="1">
        <v>21.004183913926617</v>
      </c>
      <c r="G117" s="1">
        <v>-0.55642147904433792</v>
      </c>
    </row>
    <row r="118" spans="4:7" x14ac:dyDescent="0.35">
      <c r="D118" s="1">
        <v>0.45341788125079308</v>
      </c>
      <c r="E118" s="1">
        <v>13.9437204737328</v>
      </c>
      <c r="F118" s="1">
        <v>20.3025727353101</v>
      </c>
      <c r="G118" s="1">
        <v>1.4879734607300263</v>
      </c>
    </row>
    <row r="119" spans="4:7" x14ac:dyDescent="0.35">
      <c r="D119" s="1">
        <v>0.48724505145091046</v>
      </c>
      <c r="E119" s="1">
        <v>14.698072437483541</v>
      </c>
      <c r="F119" s="1">
        <v>18.445567081933163</v>
      </c>
      <c r="G119" s="1">
        <v>1.3505140041452355</v>
      </c>
    </row>
    <row r="120" spans="4:7" x14ac:dyDescent="0.35">
      <c r="D120" s="1">
        <v>0.47020262417883069</v>
      </c>
      <c r="E120" s="1">
        <v>15.872983792707446</v>
      </c>
      <c r="F120" s="1">
        <v>21.694160040963105</v>
      </c>
      <c r="G120" s="1">
        <v>2.7642460730342009</v>
      </c>
    </row>
    <row r="121" spans="4:7" x14ac:dyDescent="0.35">
      <c r="D121" s="1">
        <v>0.59554498495231611</v>
      </c>
      <c r="E121" s="1">
        <v>15.610545522935647</v>
      </c>
      <c r="F121" s="1">
        <v>18.711441811795023</v>
      </c>
      <c r="G121" s="1">
        <v>-0.62969530022824116</v>
      </c>
    </row>
    <row r="122" spans="4:7" x14ac:dyDescent="0.35">
      <c r="D122" s="1">
        <v>0.55797682186681197</v>
      </c>
      <c r="E122" s="1">
        <v>11.807550155682325</v>
      </c>
      <c r="F122" s="1">
        <v>19.479168769922794</v>
      </c>
      <c r="G122" s="1">
        <v>-2.4022983471636108</v>
      </c>
    </row>
    <row r="123" spans="4:7" x14ac:dyDescent="0.35">
      <c r="D123" s="1">
        <v>0.46196427651639499</v>
      </c>
      <c r="E123" s="1">
        <v>18.63497551982892</v>
      </c>
      <c r="F123" s="1">
        <v>18.152601440418966</v>
      </c>
      <c r="G123" s="1">
        <v>5.3826451003769309</v>
      </c>
    </row>
    <row r="124" spans="4:7" x14ac:dyDescent="0.35">
      <c r="D124" s="1">
        <v>0.49955831099558717</v>
      </c>
      <c r="E124" s="1">
        <v>15.22107645028994</v>
      </c>
      <c r="F124" s="1">
        <v>20.73020963271891</v>
      </c>
      <c r="G124" s="1">
        <v>1.4812897604796009</v>
      </c>
    </row>
    <row r="125" spans="4:7" x14ac:dyDescent="0.35">
      <c r="D125" s="1">
        <v>0.59440972151108395</v>
      </c>
      <c r="E125" s="1">
        <v>12.055579796947974</v>
      </c>
      <c r="F125" s="1">
        <v>19.025147107315828</v>
      </c>
      <c r="G125" s="1">
        <v>-2.9360535741293265</v>
      </c>
    </row>
    <row r="126" spans="4:7" x14ac:dyDescent="0.35">
      <c r="D126" s="1">
        <v>0.4329111369014082</v>
      </c>
      <c r="E126" s="1">
        <v>14.589196109298266</v>
      </c>
      <c r="F126" s="1">
        <v>19.093926392204082</v>
      </c>
      <c r="G126" s="1">
        <v>2.5438440806194547</v>
      </c>
    </row>
    <row r="127" spans="4:7" x14ac:dyDescent="0.35">
      <c r="D127" s="1">
        <v>0.49323860630952882</v>
      </c>
      <c r="E127" s="1">
        <v>15.674973919568227</v>
      </c>
      <c r="F127" s="1">
        <v>18.388138153602359</v>
      </c>
      <c r="G127" s="1">
        <v>2.0095801320940718</v>
      </c>
    </row>
    <row r="128" spans="4:7" x14ac:dyDescent="0.35">
      <c r="D128" s="1">
        <v>0.42946736940796482</v>
      </c>
      <c r="E128" s="1">
        <v>14.318759220386172</v>
      </c>
      <c r="F128" s="1">
        <v>21.974275251652323</v>
      </c>
      <c r="G128" s="1">
        <v>2.3753354110324434</v>
      </c>
    </row>
    <row r="129" spans="4:7" x14ac:dyDescent="0.35">
      <c r="D129" s="1">
        <v>0.39301730814612956</v>
      </c>
      <c r="E129" s="1">
        <v>14.356549259223033</v>
      </c>
      <c r="F129" s="1">
        <v>19.290162864481864</v>
      </c>
      <c r="G129" s="1">
        <v>3.2577198415718658</v>
      </c>
    </row>
    <row r="130" spans="4:7" x14ac:dyDescent="0.35">
      <c r="D130" s="1">
        <v>0.53269621088260322</v>
      </c>
      <c r="E130" s="1">
        <v>11.705592305680842</v>
      </c>
      <c r="F130" s="1">
        <v>21.845645666091166</v>
      </c>
      <c r="G130" s="1">
        <v>-1.9960414678955984</v>
      </c>
    </row>
    <row r="131" spans="4:7" x14ac:dyDescent="0.35">
      <c r="D131" s="1">
        <v>0.5536758067612747</v>
      </c>
      <c r="E131" s="1">
        <v>13.013096135518545</v>
      </c>
      <c r="F131" s="1">
        <v>19.74803246828278</v>
      </c>
      <c r="G131" s="1">
        <v>-1.4486711053265666</v>
      </c>
    </row>
    <row r="132" spans="4:7" x14ac:dyDescent="0.35">
      <c r="D132" s="1">
        <v>0.39096382283063813</v>
      </c>
      <c r="E132" s="1">
        <v>15.025894695345059</v>
      </c>
      <c r="F132" s="1">
        <v>20.419866368777473</v>
      </c>
      <c r="G132" s="1">
        <v>3.965652556101809</v>
      </c>
    </row>
    <row r="133" spans="4:7" x14ac:dyDescent="0.35">
      <c r="D133" s="1">
        <v>0.48784857869319909</v>
      </c>
      <c r="E133" s="1">
        <v>15.754963369467234</v>
      </c>
      <c r="F133" s="1">
        <v>21.323433201402157</v>
      </c>
      <c r="G133" s="1">
        <v>2.2127520652262374</v>
      </c>
    </row>
    <row r="134" spans="4:7" x14ac:dyDescent="0.35">
      <c r="D134" s="1">
        <v>0.63588294765846298</v>
      </c>
      <c r="E134" s="1">
        <v>12.421916901107533</v>
      </c>
      <c r="F134" s="1">
        <v>21.24658407459194</v>
      </c>
      <c r="G134" s="1">
        <v>-3.5297445579176627</v>
      </c>
    </row>
    <row r="135" spans="4:7" x14ac:dyDescent="0.35">
      <c r="D135" s="1">
        <v>0.5101113810819573</v>
      </c>
      <c r="E135" s="1">
        <v>11.890134581030352</v>
      </c>
      <c r="F135" s="1">
        <v>22.061604901067604</v>
      </c>
      <c r="G135" s="1">
        <v>-1.4214930788113544</v>
      </c>
    </row>
    <row r="136" spans="4:7" x14ac:dyDescent="0.35">
      <c r="D136" s="1">
        <v>0.4511756105703113</v>
      </c>
      <c r="E136" s="1">
        <v>20.435262457793435</v>
      </c>
      <c r="F136" s="1">
        <v>21.30258989236053</v>
      </c>
      <c r="G136" s="1">
        <v>7.3083459623189428</v>
      </c>
    </row>
    <row r="137" spans="4:7" x14ac:dyDescent="0.35">
      <c r="D137" s="1">
        <v>0.46857440268259665</v>
      </c>
      <c r="E137" s="1">
        <v>18.212134981240045</v>
      </c>
      <c r="F137" s="1">
        <v>21.556983465951127</v>
      </c>
      <c r="G137" s="1">
        <v>4.8192486671813919</v>
      </c>
    </row>
    <row r="138" spans="4:7" x14ac:dyDescent="0.35">
      <c r="D138" s="1">
        <v>0.56233530644800434</v>
      </c>
      <c r="E138" s="1">
        <v>14.371410250557016</v>
      </c>
      <c r="F138" s="1">
        <v>19.210411633844618</v>
      </c>
      <c r="G138" s="1">
        <v>-0.6684081942261153</v>
      </c>
    </row>
    <row r="139" spans="4:7" x14ac:dyDescent="0.35">
      <c r="D139" s="1">
        <v>0.57306762431251779</v>
      </c>
      <c r="E139" s="1">
        <v>19.726355470545109</v>
      </c>
      <c r="F139" s="1">
        <v>19.330875124382157</v>
      </c>
      <c r="G139" s="1">
        <v>2.784254139858608</v>
      </c>
    </row>
    <row r="140" spans="4:7" x14ac:dyDescent="0.35">
      <c r="D140" s="1">
        <v>0.5994425656761867</v>
      </c>
      <c r="E140" s="1">
        <v>17.025829176025439</v>
      </c>
      <c r="F140" s="1">
        <v>21.159082864087843</v>
      </c>
      <c r="G140" s="1">
        <v>0.18985580384517112</v>
      </c>
    </row>
    <row r="141" spans="4:7" x14ac:dyDescent="0.35">
      <c r="D141" s="1">
        <v>0.51237649096164195</v>
      </c>
      <c r="E141" s="1">
        <v>13.642321460823183</v>
      </c>
      <c r="F141" s="1">
        <v>19.588530683078808</v>
      </c>
      <c r="G141" s="1">
        <v>-8.1416019212369961E-2</v>
      </c>
    </row>
    <row r="142" spans="4:7" x14ac:dyDescent="0.35">
      <c r="D142" s="1">
        <v>0.49627170112836627</v>
      </c>
      <c r="E142" s="1">
        <v>16.529933469895145</v>
      </c>
      <c r="F142" s="1">
        <v>21.520659248091999</v>
      </c>
      <c r="G142" s="1">
        <v>2.6300401637404232</v>
      </c>
    </row>
    <row r="143" spans="4:7" x14ac:dyDescent="0.35">
      <c r="D143" s="1">
        <v>0.53178156974089463</v>
      </c>
      <c r="E143" s="1">
        <v>14.344335588471585</v>
      </c>
      <c r="F143" s="1">
        <v>19.738456947906567</v>
      </c>
      <c r="G143" s="1">
        <v>2.2174866403736091E-2</v>
      </c>
    </row>
    <row r="144" spans="4:7" x14ac:dyDescent="0.35">
      <c r="D144" s="1">
        <v>0.48562020601578243</v>
      </c>
      <c r="E144" s="1">
        <v>15.323173872485764</v>
      </c>
      <c r="F144" s="1">
        <v>19.235292083076562</v>
      </c>
      <c r="G144" s="1">
        <v>1.9099165118849744</v>
      </c>
    </row>
    <row r="145" spans="4:7" x14ac:dyDescent="0.35">
      <c r="D145" s="1">
        <v>0.54663493194085866</v>
      </c>
      <c r="E145" s="1">
        <v>15.997495797962781</v>
      </c>
      <c r="F145" s="1">
        <v>20.352891569743907</v>
      </c>
      <c r="G145" s="1">
        <v>0.89090050982447588</v>
      </c>
    </row>
    <row r="146" spans="4:7" x14ac:dyDescent="0.35">
      <c r="D146" s="1">
        <v>0.49371786141141699</v>
      </c>
      <c r="E146" s="1">
        <v>18.317522459916521</v>
      </c>
      <c r="F146" s="1">
        <v>20.829990615946084</v>
      </c>
      <c r="G146" s="1">
        <v>4.1640725024908205</v>
      </c>
    </row>
    <row r="147" spans="4:7" x14ac:dyDescent="0.35">
      <c r="D147" s="1">
        <v>0.53575063118046284</v>
      </c>
      <c r="E147" s="1">
        <v>13.576290584622813</v>
      </c>
      <c r="F147" s="1">
        <v>20.654434479942854</v>
      </c>
      <c r="G147" s="1">
        <v>-0.64747568646701315</v>
      </c>
    </row>
    <row r="148" spans="4:7" x14ac:dyDescent="0.35">
      <c r="D148" s="1">
        <v>0.46395256474810531</v>
      </c>
      <c r="E148" s="1">
        <v>19.162548105684397</v>
      </c>
      <c r="F148" s="1">
        <v>20.388857428504398</v>
      </c>
      <c r="G148" s="1">
        <v>5.7806352549768061</v>
      </c>
    </row>
    <row r="149" spans="4:7" x14ac:dyDescent="0.35">
      <c r="D149" s="1">
        <v>0.45013747233780843</v>
      </c>
      <c r="E149" s="1">
        <v>11.717217579077779</v>
      </c>
      <c r="F149" s="1">
        <v>19.845397628075194</v>
      </c>
      <c r="G149" s="1">
        <v>-0.42062814901073847</v>
      </c>
    </row>
    <row r="150" spans="4:7" x14ac:dyDescent="0.35">
      <c r="D150" s="1">
        <v>0.44283606863401409</v>
      </c>
      <c r="E150" s="1">
        <v>13.477181960631885</v>
      </c>
      <c r="F150" s="1">
        <v>20.018765535460332</v>
      </c>
      <c r="G150" s="1">
        <v>1.3059626833738658</v>
      </c>
    </row>
    <row r="151" spans="4:7" x14ac:dyDescent="0.35">
      <c r="D151" s="1">
        <v>0.54309865009671354</v>
      </c>
      <c r="E151" s="1">
        <v>14.257974172954306</v>
      </c>
      <c r="F151" s="1">
        <v>19.841806158176666</v>
      </c>
      <c r="G151" s="1">
        <v>-0.30462698035625013</v>
      </c>
    </row>
    <row r="152" spans="4:7" x14ac:dyDescent="0.35">
      <c r="D152" s="1">
        <v>0.55250871489276876</v>
      </c>
      <c r="E152" s="1">
        <v>13.820068021336374</v>
      </c>
      <c r="F152" s="1">
        <v>20.863530036576478</v>
      </c>
      <c r="G152" s="1">
        <v>-0.83926120903584678</v>
      </c>
    </row>
    <row r="153" spans="4:7" x14ac:dyDescent="0.35">
      <c r="D153" s="1">
        <v>0.47810200007759573</v>
      </c>
      <c r="E153" s="1">
        <v>14.899135535007082</v>
      </c>
      <c r="F153" s="1">
        <v>19.227952617886768</v>
      </c>
      <c r="G153" s="1">
        <v>1.7380867590029665</v>
      </c>
    </row>
    <row r="154" spans="4:7" x14ac:dyDescent="0.35">
      <c r="D154" s="1">
        <v>0.47940903084137132</v>
      </c>
      <c r="E154" s="1">
        <v>16.462710545034568</v>
      </c>
      <c r="F154" s="1">
        <v>19.268060317776982</v>
      </c>
      <c r="G154" s="1">
        <v>3.0247766934493092</v>
      </c>
    </row>
    <row r="155" spans="4:7" x14ac:dyDescent="0.35">
      <c r="D155" s="1">
        <v>0.46239361336851609</v>
      </c>
      <c r="E155" s="1">
        <v>15.371309255450756</v>
      </c>
      <c r="F155" s="1">
        <v>19.646885495891453</v>
      </c>
      <c r="G155" s="1">
        <v>2.5282054223844779</v>
      </c>
    </row>
    <row r="156" spans="4:7" x14ac:dyDescent="0.35">
      <c r="D156" s="1">
        <v>0.39840427229420089</v>
      </c>
      <c r="E156" s="1">
        <v>13.883060867800001</v>
      </c>
      <c r="F156" s="1">
        <v>19.664420179321155</v>
      </c>
      <c r="G156" s="1">
        <v>2.6711665277186261</v>
      </c>
    </row>
    <row r="157" spans="4:7" x14ac:dyDescent="0.35">
      <c r="D157" s="1">
        <v>0.52095834293513743</v>
      </c>
      <c r="E157" s="1">
        <v>14.966033147203539</v>
      </c>
      <c r="F157" s="1">
        <v>19.691917982531191</v>
      </c>
      <c r="G157" s="1">
        <v>0.75591310537650958</v>
      </c>
    </row>
    <row r="158" spans="4:7" x14ac:dyDescent="0.35">
      <c r="D158" s="1">
        <v>0.39626117310857772</v>
      </c>
      <c r="E158" s="1">
        <v>11.237321640975232</v>
      </c>
      <c r="F158" s="1">
        <v>19.540830653384692</v>
      </c>
      <c r="G158" s="1">
        <v>0.13250190691423508</v>
      </c>
    </row>
    <row r="159" spans="4:7" x14ac:dyDescent="0.35">
      <c r="D159" s="1">
        <v>0.4262442111679936</v>
      </c>
      <c r="E159" s="1">
        <v>14.700922839072962</v>
      </c>
      <c r="F159" s="1">
        <v>19.514681208535237</v>
      </c>
      <c r="G159" s="1">
        <v>2.8051774227405666</v>
      </c>
    </row>
    <row r="160" spans="4:7" x14ac:dyDescent="0.35">
      <c r="D160" s="1">
        <v>0.46548491671837544</v>
      </c>
      <c r="E160" s="1">
        <v>11.682844124427113</v>
      </c>
      <c r="F160" s="1">
        <v>19.798981128414919</v>
      </c>
      <c r="G160" s="1">
        <v>-0.74161255677680016</v>
      </c>
    </row>
    <row r="161" spans="4:7" x14ac:dyDescent="0.35">
      <c r="D161" s="1">
        <v>0.45626669655645696</v>
      </c>
      <c r="E161" s="1">
        <v>13.307476343584741</v>
      </c>
      <c r="F161" s="1">
        <v>20.070131574370095</v>
      </c>
      <c r="G161" s="1">
        <v>0.86338931796628648</v>
      </c>
    </row>
    <row r="162" spans="4:7" x14ac:dyDescent="0.35">
      <c r="D162" s="1">
        <v>0.50737705378769482</v>
      </c>
      <c r="E162" s="1">
        <v>14.479463837791847</v>
      </c>
      <c r="F162" s="1">
        <v>19.491856289214713</v>
      </c>
      <c r="G162" s="1">
        <v>0.69690391460467904</v>
      </c>
    </row>
    <row r="163" spans="4:7" x14ac:dyDescent="0.35">
      <c r="D163" s="1">
        <v>0.52433509392660049</v>
      </c>
      <c r="E163" s="1">
        <v>11.874346677583793</v>
      </c>
      <c r="F163" s="1">
        <v>19.800471163640029</v>
      </c>
      <c r="G163" s="1">
        <v>-1.7075439629662557</v>
      </c>
    </row>
    <row r="164" spans="4:7" x14ac:dyDescent="0.35">
      <c r="D164" s="1">
        <v>0.55561680345995101</v>
      </c>
      <c r="E164" s="1">
        <v>15.460401076556733</v>
      </c>
      <c r="F164" s="1">
        <v>18.370390730148436</v>
      </c>
      <c r="G164" s="1">
        <v>0.27167179377947959</v>
      </c>
    </row>
    <row r="165" spans="4:7" x14ac:dyDescent="0.35">
      <c r="D165" s="1">
        <v>0.4708681246785098</v>
      </c>
      <c r="E165" s="1">
        <v>16.569931874303077</v>
      </c>
      <c r="F165" s="1">
        <v>18.272767942328397</v>
      </c>
      <c r="G165" s="1">
        <v>3.3443654582219997</v>
      </c>
    </row>
    <row r="166" spans="4:7" x14ac:dyDescent="0.35">
      <c r="D166" s="1">
        <v>0.59796732541411535</v>
      </c>
      <c r="E166" s="1">
        <v>12.664597601255768</v>
      </c>
      <c r="F166" s="1">
        <v>18.786759002865654</v>
      </c>
      <c r="G166" s="1">
        <v>-2.6089902900285322</v>
      </c>
    </row>
    <row r="167" spans="4:7" x14ac:dyDescent="0.35">
      <c r="D167" s="1">
        <v>0.40084293963854417</v>
      </c>
      <c r="E167" s="1">
        <v>13.295910440030934</v>
      </c>
      <c r="F167" s="1">
        <v>20.904306230311906</v>
      </c>
      <c r="G167" s="1">
        <v>2.0466126943072891</v>
      </c>
    </row>
    <row r="168" spans="4:7" x14ac:dyDescent="0.35">
      <c r="D168" s="1">
        <v>0.60087195966294338</v>
      </c>
      <c r="E168" s="1">
        <v>19.809808636659458</v>
      </c>
      <c r="F168" s="1">
        <v>19.230436256087255</v>
      </c>
      <c r="G168" s="1">
        <v>1.9499485020852998</v>
      </c>
    </row>
    <row r="169" spans="4:7" x14ac:dyDescent="0.35">
      <c r="D169" s="1">
        <v>0.49103452933508474</v>
      </c>
      <c r="E169" s="1">
        <v>13.646738234438418</v>
      </c>
      <c r="F169" s="1">
        <v>21.062897481145328</v>
      </c>
      <c r="G169" s="1">
        <v>0.39374167346961358</v>
      </c>
    </row>
    <row r="170" spans="4:7" x14ac:dyDescent="0.35">
      <c r="D170" s="1">
        <v>0.51905426864405957</v>
      </c>
      <c r="E170" s="1">
        <v>14.950610093847029</v>
      </c>
      <c r="F170" s="1">
        <v>20.170627572832224</v>
      </c>
      <c r="G170" s="1">
        <v>0.7900497227364206</v>
      </c>
    </row>
    <row r="171" spans="4:7" x14ac:dyDescent="0.35">
      <c r="D171" s="1">
        <v>0.54041236767089895</v>
      </c>
      <c r="E171" s="1">
        <v>15.755153975274256</v>
      </c>
      <c r="F171" s="1">
        <v>20.157167587799258</v>
      </c>
      <c r="G171" s="1">
        <v>0.87173908325810423</v>
      </c>
    </row>
    <row r="172" spans="4:7" x14ac:dyDescent="0.35">
      <c r="D172" s="1">
        <v>0.44534748110554723</v>
      </c>
      <c r="E172" s="1">
        <v>15.871079164437207</v>
      </c>
      <c r="F172" s="1">
        <v>21.097909301794289</v>
      </c>
      <c r="G172" s="1">
        <v>3.4014599836677806</v>
      </c>
    </row>
    <row r="173" spans="4:7" x14ac:dyDescent="0.35">
      <c r="D173" s="1">
        <v>0.45829303765489438</v>
      </c>
      <c r="E173" s="1">
        <v>14.462915704911858</v>
      </c>
      <c r="F173" s="1">
        <v>20.02813460006659</v>
      </c>
      <c r="G173" s="1">
        <v>1.8333656234522764</v>
      </c>
    </row>
    <row r="174" spans="4:7" x14ac:dyDescent="0.35">
      <c r="D174" s="1">
        <v>0.43528468006565607</v>
      </c>
      <c r="E174" s="1">
        <v>13.645814296429924</v>
      </c>
      <c r="F174" s="1">
        <v>18.832375313821636</v>
      </c>
      <c r="G174" s="1">
        <v>1.6250008457393483</v>
      </c>
    </row>
    <row r="175" spans="4:7" x14ac:dyDescent="0.35">
      <c r="D175" s="1">
        <v>0.47624025425079042</v>
      </c>
      <c r="E175" s="1">
        <v>16.951082140149776</v>
      </c>
      <c r="F175" s="1">
        <v>20.899772988794833</v>
      </c>
      <c r="G175" s="1">
        <v>3.5235044981816173</v>
      </c>
    </row>
    <row r="176" spans="4:7" x14ac:dyDescent="0.35">
      <c r="D176" s="1">
        <v>0.53435335336622036</v>
      </c>
      <c r="E176" s="1">
        <v>17.88488859823353</v>
      </c>
      <c r="F176" s="1">
        <v>19.337345766868332</v>
      </c>
      <c r="G176" s="1">
        <v>2.632377286378131</v>
      </c>
    </row>
    <row r="177" spans="4:7" x14ac:dyDescent="0.35">
      <c r="D177" s="1">
        <v>0.47543731183490678</v>
      </c>
      <c r="E177" s="1">
        <v>11.695065497552511</v>
      </c>
      <c r="F177" s="1">
        <v>19.879371158577218</v>
      </c>
      <c r="G177" s="1">
        <v>-0.91953060668515696</v>
      </c>
    </row>
    <row r="178" spans="4:7" x14ac:dyDescent="0.35">
      <c r="D178" s="1">
        <v>0.47689020872797033</v>
      </c>
      <c r="E178" s="1">
        <v>13.799730322969106</v>
      </c>
      <c r="F178" s="1">
        <v>20.970963982557944</v>
      </c>
      <c r="G178" s="1">
        <v>0.83594885595232304</v>
      </c>
    </row>
    <row r="179" spans="4:7" x14ac:dyDescent="0.35">
      <c r="D179" s="1">
        <v>0.51431958582427661</v>
      </c>
      <c r="E179" s="1">
        <v>15.941814765145322</v>
      </c>
      <c r="F179" s="1">
        <v>19.346674886146726</v>
      </c>
      <c r="G179" s="1">
        <v>1.6843171355592048</v>
      </c>
    </row>
    <row r="180" spans="4:7" x14ac:dyDescent="0.35">
      <c r="D180" s="1">
        <v>0.45141275117500024</v>
      </c>
      <c r="E180" s="1">
        <v>16.363763758648233</v>
      </c>
      <c r="F180" s="1">
        <v>20.278408990752855</v>
      </c>
      <c r="G180" s="1">
        <v>3.683278352704352</v>
      </c>
    </row>
    <row r="181" spans="4:7" x14ac:dyDescent="0.35">
      <c r="D181" s="1">
        <v>0.50203030434916329</v>
      </c>
      <c r="E181" s="1">
        <v>15.312851367761938</v>
      </c>
      <c r="F181" s="1">
        <v>20.184297251959574</v>
      </c>
      <c r="G181" s="1">
        <v>1.4943665989641368</v>
      </c>
    </row>
    <row r="182" spans="4:7" x14ac:dyDescent="0.35">
      <c r="D182" s="1">
        <v>0.54179531892085231</v>
      </c>
      <c r="E182" s="1">
        <v>14.963312624463965</v>
      </c>
      <c r="F182" s="1">
        <v>20.282363213670379</v>
      </c>
      <c r="G182" s="1">
        <v>0.24886540567164037</v>
      </c>
    </row>
    <row r="183" spans="4:7" x14ac:dyDescent="0.35">
      <c r="D183" s="1">
        <v>0.53432094655443785</v>
      </c>
      <c r="E183" s="1">
        <v>16.085893610106609</v>
      </c>
      <c r="F183" s="1">
        <v>20.696334826599308</v>
      </c>
      <c r="G183" s="1">
        <v>1.276591884097785</v>
      </c>
    </row>
    <row r="184" spans="4:7" x14ac:dyDescent="0.35">
      <c r="D184" s="1">
        <v>0.53693164598842691</v>
      </c>
      <c r="E184" s="1">
        <v>17.253689797637005</v>
      </c>
      <c r="F184" s="1">
        <v>21.70974618873424</v>
      </c>
      <c r="G184" s="1">
        <v>2.084345091938077</v>
      </c>
    </row>
    <row r="185" spans="4:7" x14ac:dyDescent="0.35">
      <c r="D185" s="1">
        <v>0.43055911200252622</v>
      </c>
      <c r="E185" s="1">
        <v>15.158120006536302</v>
      </c>
      <c r="F185" s="1">
        <v>17.864481227423379</v>
      </c>
      <c r="G185" s="1">
        <v>3.1240747481554063</v>
      </c>
    </row>
    <row r="186" spans="4:7" x14ac:dyDescent="0.35">
      <c r="D186" s="1">
        <v>0.43047127599329188</v>
      </c>
      <c r="E186" s="1">
        <v>11.815388001778404</v>
      </c>
      <c r="F186" s="1">
        <v>20.486362327525526</v>
      </c>
      <c r="G186" s="1">
        <v>4.3099419859323994E-2</v>
      </c>
    </row>
    <row r="187" spans="4:7" x14ac:dyDescent="0.35">
      <c r="D187" s="1">
        <v>0.5968195879598388</v>
      </c>
      <c r="E187" s="1">
        <v>14.467328828816314</v>
      </c>
      <c r="F187" s="1">
        <v>19.482070140502401</v>
      </c>
      <c r="G187" s="1">
        <v>-1.40837209051011</v>
      </c>
    </row>
    <row r="188" spans="4:7" x14ac:dyDescent="0.35">
      <c r="D188" s="1">
        <v>0.36370382931290351</v>
      </c>
      <c r="E188" s="1">
        <v>11.174073451455746</v>
      </c>
      <c r="F188" s="1">
        <v>19.273397625174624</v>
      </c>
      <c r="G188" s="1">
        <v>0.6598243832195303</v>
      </c>
    </row>
    <row r="189" spans="4:7" x14ac:dyDescent="0.35">
      <c r="D189" s="1">
        <v>0.54821771114424445</v>
      </c>
      <c r="E189" s="1">
        <v>16.621266926763372</v>
      </c>
      <c r="F189" s="1">
        <v>19.219236777805044</v>
      </c>
      <c r="G189" s="1">
        <v>1.3062773979107611</v>
      </c>
    </row>
    <row r="190" spans="4:7" x14ac:dyDescent="0.35">
      <c r="D190" s="1">
        <v>0.47348220594317408</v>
      </c>
      <c r="E190" s="1">
        <v>16.410707543465445</v>
      </c>
      <c r="F190" s="1">
        <v>19.637366939381824</v>
      </c>
      <c r="G190" s="1">
        <v>3.1384495813339943</v>
      </c>
    </row>
    <row r="191" spans="4:7" x14ac:dyDescent="0.35">
      <c r="D191" s="1">
        <v>0.47352380173639841</v>
      </c>
      <c r="E191" s="1">
        <v>16.697444758358589</v>
      </c>
      <c r="F191" s="1">
        <v>19.025961362844384</v>
      </c>
      <c r="G191" s="1">
        <v>3.3818209080010511</v>
      </c>
    </row>
    <row r="192" spans="4:7" x14ac:dyDescent="0.35">
      <c r="D192" s="1">
        <v>0.58513540593252078</v>
      </c>
      <c r="E192" s="1">
        <v>15.251758570216323</v>
      </c>
      <c r="F192" s="1">
        <v>20.401893536632869</v>
      </c>
      <c r="G192" s="1">
        <v>-0.60758748586949241</v>
      </c>
    </row>
    <row r="193" spans="4:7" x14ac:dyDescent="0.35">
      <c r="D193" s="1">
        <v>0.46939578779324326</v>
      </c>
      <c r="E193" s="1">
        <v>15.743251322766254</v>
      </c>
      <c r="F193" s="1">
        <v>19.169028353353482</v>
      </c>
      <c r="G193" s="1">
        <v>2.6735072556475732</v>
      </c>
    </row>
    <row r="194" spans="4:7" x14ac:dyDescent="0.35">
      <c r="D194" s="1">
        <v>0.49741138069251128</v>
      </c>
      <c r="E194" s="1">
        <v>16.158417690585829</v>
      </c>
      <c r="F194" s="1">
        <v>21.914056618778108</v>
      </c>
      <c r="G194" s="1">
        <v>2.2971429540766803</v>
      </c>
    </row>
    <row r="195" spans="4:7" x14ac:dyDescent="0.35">
      <c r="D195" s="1">
        <v>0.5434163828767884</v>
      </c>
      <c r="E195" s="1">
        <v>14.561207805237405</v>
      </c>
      <c r="F195" s="1">
        <v>19.547207859199727</v>
      </c>
      <c r="G195" s="1">
        <v>-8.7744503680480757E-2</v>
      </c>
    </row>
    <row r="196" spans="4:7" x14ac:dyDescent="0.35">
      <c r="D196" s="1">
        <v>0.45148100562789306</v>
      </c>
      <c r="E196" s="1">
        <v>12.777197008738472</v>
      </c>
      <c r="F196" s="1">
        <v>19.536712517019261</v>
      </c>
      <c r="G196" s="1">
        <v>0.49547190179705014</v>
      </c>
    </row>
    <row r="197" spans="4:7" x14ac:dyDescent="0.35">
      <c r="D197" s="1">
        <v>0.55361674049826248</v>
      </c>
      <c r="E197" s="1">
        <v>14.231334597231273</v>
      </c>
      <c r="F197" s="1">
        <v>18.906908218800137</v>
      </c>
      <c r="G197" s="1">
        <v>-0.56675253350594834</v>
      </c>
    </row>
    <row r="198" spans="4:7" x14ac:dyDescent="0.35">
      <c r="D198" s="1">
        <v>0.46478617170232372</v>
      </c>
      <c r="E198" s="1">
        <v>13.870260586459423</v>
      </c>
      <c r="F198" s="1">
        <v>18.988027522922067</v>
      </c>
      <c r="G198" s="1">
        <v>1.1675873903094054</v>
      </c>
    </row>
    <row r="199" spans="4:7" x14ac:dyDescent="0.35">
      <c r="D199" s="1">
        <v>0.46992642406854768</v>
      </c>
      <c r="E199" s="1">
        <v>13.678424413528903</v>
      </c>
      <c r="F199" s="1">
        <v>18.93435286889347</v>
      </c>
      <c r="G199" s="1">
        <v>0.88744385015013016</v>
      </c>
    </row>
    <row r="200" spans="4:7" x14ac:dyDescent="0.35">
      <c r="D200" s="1">
        <v>0.49712222962286517</v>
      </c>
      <c r="E200" s="1">
        <v>17.481256357142183</v>
      </c>
      <c r="F200" s="1">
        <v>18.534288056464028</v>
      </c>
      <c r="G200" s="1">
        <v>3.3820281738446401</v>
      </c>
    </row>
    <row r="201" spans="4:7" x14ac:dyDescent="0.35">
      <c r="D201" s="1">
        <v>0.45579833874110115</v>
      </c>
      <c r="E201" s="1">
        <v>17.10569985733866</v>
      </c>
      <c r="F201" s="1">
        <v>18.819157196199967</v>
      </c>
      <c r="G201" s="1">
        <v>4.2209417994233194</v>
      </c>
    </row>
    <row r="202" spans="4:7" x14ac:dyDescent="0.35">
      <c r="D202" s="1">
        <v>0.51642143764981896</v>
      </c>
      <c r="E202" s="1">
        <v>13.495591962154304</v>
      </c>
      <c r="F202" s="1">
        <v>19.486085607960192</v>
      </c>
      <c r="G202" s="1">
        <v>-0.28569316505324055</v>
      </c>
    </row>
    <row r="203" spans="4:7" x14ac:dyDescent="0.35">
      <c r="D203" s="1">
        <v>0.53353260967298777</v>
      </c>
      <c r="E203" s="1">
        <v>13.656204471092822</v>
      </c>
      <c r="F203" s="1">
        <v>19.419088408003706</v>
      </c>
      <c r="G203" s="1">
        <v>-0.53833955449389059</v>
      </c>
    </row>
    <row r="204" spans="4:7" x14ac:dyDescent="0.35">
      <c r="D204" s="1">
        <v>0.49073957944912688</v>
      </c>
      <c r="E204" s="1">
        <v>15.822830665149905</v>
      </c>
      <c r="F204" s="1">
        <v>20.251427316511666</v>
      </c>
      <c r="G204" s="1">
        <v>2.1949613241953911</v>
      </c>
    </row>
    <row r="205" spans="4:7" x14ac:dyDescent="0.35">
      <c r="D205" s="1">
        <v>0.58059246694656275</v>
      </c>
      <c r="E205" s="1">
        <v>16.506041802774043</v>
      </c>
      <c r="F205" s="1">
        <v>19.255290118971363</v>
      </c>
      <c r="G205" s="1">
        <v>0.3565580285718738</v>
      </c>
    </row>
    <row r="206" spans="4:7" x14ac:dyDescent="0.35">
      <c r="D206" s="1">
        <v>0.48744354240386573</v>
      </c>
      <c r="E206" s="1">
        <v>12.801008319750592</v>
      </c>
      <c r="F206" s="1">
        <v>19.507778161344277</v>
      </c>
      <c r="G206" s="1">
        <v>-0.22891345080618308</v>
      </c>
    </row>
    <row r="207" spans="4:7" x14ac:dyDescent="0.35">
      <c r="D207" s="1">
        <v>0.45523716626314054</v>
      </c>
      <c r="E207" s="1">
        <v>16.960691886940172</v>
      </c>
      <c r="F207" s="1">
        <v>21.140022347588843</v>
      </c>
      <c r="G207" s="1">
        <v>4.1085570311245956</v>
      </c>
    </row>
    <row r="208" spans="4:7" x14ac:dyDescent="0.35">
      <c r="D208" s="1">
        <v>0.47912326682930262</v>
      </c>
      <c r="E208" s="1">
        <v>15.140956912972271</v>
      </c>
      <c r="F208" s="1">
        <v>20.881454437910527</v>
      </c>
      <c r="G208" s="1">
        <v>1.9174327557145716</v>
      </c>
    </row>
    <row r="209" spans="4:7" x14ac:dyDescent="0.35">
      <c r="D209" s="1">
        <v>0.51117319758467328</v>
      </c>
      <c r="E209" s="1">
        <v>15.70693350147342</v>
      </c>
      <c r="F209" s="1">
        <v>20.930451111287645</v>
      </c>
      <c r="G209" s="1">
        <v>1.5796064002053913</v>
      </c>
    </row>
    <row r="210" spans="4:7" x14ac:dyDescent="0.35">
      <c r="D210" s="1">
        <v>0.55451762931186277</v>
      </c>
      <c r="E210" s="1">
        <v>12.627383420575081</v>
      </c>
      <c r="F210" s="1">
        <v>20.149574841336694</v>
      </c>
      <c r="G210" s="1">
        <v>-1.7446839139399659</v>
      </c>
    </row>
    <row r="211" spans="4:7" x14ac:dyDescent="0.35">
      <c r="D211" s="1">
        <v>0.52328745093508466</v>
      </c>
      <c r="E211" s="1">
        <v>16.783324580242788</v>
      </c>
      <c r="F211" s="1">
        <v>21.653356861376491</v>
      </c>
      <c r="G211" s="1">
        <v>2.1024568518206199</v>
      </c>
    </row>
    <row r="212" spans="4:7" x14ac:dyDescent="0.35">
      <c r="D212" s="1">
        <v>0.56253393243735261</v>
      </c>
      <c r="E212" s="1">
        <v>15.779096017229058</v>
      </c>
      <c r="F212" s="1">
        <v>19.832455720211513</v>
      </c>
      <c r="G212" s="1">
        <v>0.32426696535024657</v>
      </c>
    </row>
    <row r="213" spans="4:7" x14ac:dyDescent="0.35">
      <c r="D213" s="1">
        <v>0.49662683814596958</v>
      </c>
      <c r="E213" s="1">
        <v>14.300435339699684</v>
      </c>
      <c r="F213" s="1">
        <v>18.657595316716325</v>
      </c>
      <c r="G213" s="1">
        <v>0.80304318911847883</v>
      </c>
    </row>
    <row r="214" spans="4:7" x14ac:dyDescent="0.35">
      <c r="D214" s="1">
        <v>0.49205640309306953</v>
      </c>
      <c r="E214" s="1">
        <v>16.053860447585638</v>
      </c>
      <c r="F214" s="1">
        <v>18.957918491339409</v>
      </c>
      <c r="G214" s="1">
        <v>2.3512639137889226</v>
      </c>
    </row>
    <row r="215" spans="4:7" x14ac:dyDescent="0.35">
      <c r="D215" s="1">
        <v>0.51792865927209764</v>
      </c>
      <c r="E215" s="1">
        <v>14.809512601239547</v>
      </c>
      <c r="F215" s="1">
        <v>18.789302901043825</v>
      </c>
      <c r="G215" s="1">
        <v>0.70714785321313955</v>
      </c>
    </row>
    <row r="216" spans="4:7" x14ac:dyDescent="0.35">
      <c r="D216" s="1">
        <v>0.54909864648310891</v>
      </c>
      <c r="E216" s="1">
        <v>13.893100784611489</v>
      </c>
      <c r="F216" s="1">
        <v>21.147596944738336</v>
      </c>
      <c r="G216" s="1">
        <v>-0.70960917820472635</v>
      </c>
    </row>
    <row r="217" spans="4:7" x14ac:dyDescent="0.35">
      <c r="D217" s="1">
        <v>0.55871212638092804</v>
      </c>
      <c r="E217" s="1">
        <v>19.970449682288894</v>
      </c>
      <c r="F217" s="1">
        <v>20.960007596725678</v>
      </c>
      <c r="G217" s="1">
        <v>3.4173037177037933</v>
      </c>
    </row>
    <row r="218" spans="4:7" x14ac:dyDescent="0.35">
      <c r="D218" s="1">
        <v>0.41337550890673119</v>
      </c>
      <c r="E218" s="1">
        <v>10.534729731713837</v>
      </c>
      <c r="F218" s="1">
        <v>19.704009459700092</v>
      </c>
      <c r="G218" s="1">
        <v>-0.84643473466228991</v>
      </c>
    </row>
    <row r="219" spans="4:7" x14ac:dyDescent="0.35">
      <c r="D219" s="1">
        <v>0.4379938145022525</v>
      </c>
      <c r="E219" s="1">
        <v>17.542985984138507</v>
      </c>
      <c r="F219" s="1">
        <v>19.866380194709748</v>
      </c>
      <c r="G219" s="1">
        <v>5.1121666415994946</v>
      </c>
    </row>
    <row r="220" spans="4:7" x14ac:dyDescent="0.35">
      <c r="D220" s="1">
        <v>0.51752218470357658</v>
      </c>
      <c r="E220" s="1">
        <v>12.510395146221478</v>
      </c>
      <c r="F220" s="1">
        <v>19.564340003752122</v>
      </c>
      <c r="G220" s="1">
        <v>-1.0795461004006</v>
      </c>
    </row>
    <row r="221" spans="4:7" x14ac:dyDescent="0.35">
      <c r="D221" s="1">
        <v>0.49907055163356939</v>
      </c>
      <c r="E221" s="1">
        <v>15.953292779247803</v>
      </c>
      <c r="F221" s="1">
        <v>20.060068308374884</v>
      </c>
      <c r="G221" s="1">
        <v>2.0873191264665731</v>
      </c>
    </row>
    <row r="222" spans="4:7" x14ac:dyDescent="0.35">
      <c r="D222" s="1">
        <v>0.49436033249335309</v>
      </c>
      <c r="E222" s="1">
        <v>13.328197295165991</v>
      </c>
      <c r="F222" s="1">
        <v>20.018420047485169</v>
      </c>
      <c r="G222" s="1">
        <v>5.9395242493099486E-2</v>
      </c>
    </row>
    <row r="223" spans="4:7" x14ac:dyDescent="0.35">
      <c r="D223" s="1">
        <v>0.49381596688362484</v>
      </c>
      <c r="E223" s="1">
        <v>15.964176607068113</v>
      </c>
      <c r="F223" s="1">
        <v>20.527643765516462</v>
      </c>
      <c r="G223" s="1">
        <v>2.2319986103791654</v>
      </c>
    </row>
    <row r="224" spans="4:7" x14ac:dyDescent="0.35">
      <c r="D224" s="1">
        <v>0.54181540792530325</v>
      </c>
      <c r="E224" s="1">
        <v>16.135526682739812</v>
      </c>
      <c r="F224" s="1">
        <v>18.971704727317903</v>
      </c>
      <c r="G224" s="1">
        <v>1.1181843335638311</v>
      </c>
    </row>
    <row r="225" spans="4:7" x14ac:dyDescent="0.35">
      <c r="D225" s="1">
        <v>0.56140333826247857</v>
      </c>
      <c r="E225" s="1">
        <v>17.969771611852011</v>
      </c>
      <c r="F225" s="1">
        <v>20.273512722298729</v>
      </c>
      <c r="G225" s="1">
        <v>1.9091890773910447</v>
      </c>
    </row>
    <row r="226" spans="4:7" x14ac:dyDescent="0.35">
      <c r="D226" s="1">
        <v>0.49660687857786162</v>
      </c>
      <c r="E226" s="1">
        <v>12.523915460573431</v>
      </c>
      <c r="F226" s="1">
        <v>20.484064456875583</v>
      </c>
      <c r="G226" s="1">
        <v>-0.64477348932454104</v>
      </c>
    </row>
    <row r="227" spans="4:7" x14ac:dyDescent="0.35">
      <c r="D227" s="1">
        <v>0.62562513046252965</v>
      </c>
      <c r="E227" s="1">
        <v>15.999458253560945</v>
      </c>
      <c r="F227" s="1">
        <v>20.546262025497473</v>
      </c>
      <c r="G227" s="1">
        <v>-1.154354651101084</v>
      </c>
    </row>
    <row r="228" spans="4:7" x14ac:dyDescent="0.35">
      <c r="D228" s="1">
        <v>0.48670883940677662</v>
      </c>
      <c r="E228" s="1">
        <v>14.876657756158421</v>
      </c>
      <c r="F228" s="1">
        <v>19.852629464087013</v>
      </c>
      <c r="G228" s="1">
        <v>1.5117289992409229</v>
      </c>
    </row>
    <row r="229" spans="4:7" x14ac:dyDescent="0.35">
      <c r="D229" s="1">
        <v>0.3702040017655559</v>
      </c>
      <c r="E229" s="1">
        <v>11.982013975957841</v>
      </c>
      <c r="F229" s="1">
        <v>18.203978947955527</v>
      </c>
      <c r="G229" s="1">
        <v>1.3662473497654182</v>
      </c>
    </row>
    <row r="230" spans="4:7" x14ac:dyDescent="0.35">
      <c r="D230" s="1">
        <v>0.49195438301959349</v>
      </c>
      <c r="E230" s="1">
        <v>13.21673100379695</v>
      </c>
      <c r="F230" s="1">
        <v>19.300901560671701</v>
      </c>
      <c r="G230" s="1">
        <v>1.9616035508713475E-2</v>
      </c>
    </row>
    <row r="231" spans="4:7" x14ac:dyDescent="0.35">
      <c r="D231" s="1">
        <v>0.52930436274266268</v>
      </c>
      <c r="E231" s="1">
        <v>13.320824667428873</v>
      </c>
      <c r="F231" s="1">
        <v>18.381260483718503</v>
      </c>
      <c r="G231" s="1">
        <v>-0.70048163041070766</v>
      </c>
    </row>
    <row r="232" spans="4:7" x14ac:dyDescent="0.35">
      <c r="D232" s="1">
        <v>0.50125622850330021</v>
      </c>
      <c r="E232" s="1">
        <v>15.214036710802944</v>
      </c>
      <c r="F232" s="1">
        <v>21.433515300737792</v>
      </c>
      <c r="G232" s="1">
        <v>1.4337497479995918</v>
      </c>
    </row>
    <row r="233" spans="4:7" x14ac:dyDescent="0.35">
      <c r="D233" s="1">
        <v>0.46215593726027665</v>
      </c>
      <c r="E233" s="1">
        <v>19.029917838086291</v>
      </c>
      <c r="F233" s="1">
        <v>18.540786864128279</v>
      </c>
      <c r="G233" s="1">
        <v>5.7208661113234358</v>
      </c>
    </row>
    <row r="234" spans="4:7" x14ac:dyDescent="0.35">
      <c r="D234" s="1">
        <v>0.54414553127640075</v>
      </c>
      <c r="E234" s="1">
        <v>15.923354967706716</v>
      </c>
      <c r="F234" s="1">
        <v>18.925845824532587</v>
      </c>
      <c r="G234" s="1">
        <v>0.90066069116946146</v>
      </c>
    </row>
    <row r="235" spans="4:7" x14ac:dyDescent="0.35">
      <c r="D235" s="1">
        <v>0.51811408147314708</v>
      </c>
      <c r="E235" s="1">
        <v>13.77909458178107</v>
      </c>
      <c r="F235" s="1">
        <v>16.215885532807146</v>
      </c>
      <c r="G235" s="1">
        <v>-0.10144087722873056</v>
      </c>
    </row>
    <row r="236" spans="4:7" x14ac:dyDescent="0.35">
      <c r="D236" s="1">
        <v>0.59456606408949397</v>
      </c>
      <c r="E236" s="1">
        <v>13.025856414685425</v>
      </c>
      <c r="F236" s="1">
        <v>18.37121540214719</v>
      </c>
      <c r="G236" s="1">
        <v>-2.3020310195037221</v>
      </c>
    </row>
    <row r="237" spans="4:7" x14ac:dyDescent="0.35">
      <c r="D237" s="1">
        <v>0.52742275165156038</v>
      </c>
      <c r="E237" s="1">
        <v>12.523274231015865</v>
      </c>
      <c r="F237" s="1">
        <v>19.574173400901152</v>
      </c>
      <c r="G237" s="1">
        <v>-1.2702778397072423</v>
      </c>
    </row>
    <row r="238" spans="4:7" x14ac:dyDescent="0.35">
      <c r="D238" s="1">
        <v>0.54515918917277129</v>
      </c>
      <c r="E238" s="1">
        <v>11.279116566203735</v>
      </c>
      <c r="F238" s="1">
        <v>20.594717455970088</v>
      </c>
      <c r="G238" s="1">
        <v>-2.5464453025422538</v>
      </c>
    </row>
    <row r="239" spans="4:7" x14ac:dyDescent="0.35">
      <c r="D239" s="1">
        <v>0.5299013954677676</v>
      </c>
      <c r="E239" s="1">
        <v>14.195957002406182</v>
      </c>
      <c r="F239" s="1">
        <v>20.4166505845754</v>
      </c>
      <c r="G239" s="1">
        <v>-4.7110769898908354E-2</v>
      </c>
    </row>
    <row r="240" spans="4:7" x14ac:dyDescent="0.35">
      <c r="D240" s="1">
        <v>0.40975755224230964</v>
      </c>
      <c r="E240" s="1">
        <v>13.428321048512052</v>
      </c>
      <c r="F240" s="1">
        <v>19.648313912175283</v>
      </c>
      <c r="G240" s="1">
        <v>1.9812286806495503</v>
      </c>
    </row>
    <row r="241" spans="4:7" x14ac:dyDescent="0.35">
      <c r="D241" s="1">
        <v>0.41296257964313721</v>
      </c>
      <c r="E241" s="1">
        <v>15.915893616364132</v>
      </c>
      <c r="F241" s="1">
        <v>18.703962313849111</v>
      </c>
      <c r="G241" s="1">
        <v>4.2764491437362047</v>
      </c>
    </row>
    <row r="242" spans="4:7" x14ac:dyDescent="0.35">
      <c r="D242" s="1">
        <v>0.55762108044607372</v>
      </c>
      <c r="E242" s="1">
        <v>15.382291712961708</v>
      </c>
      <c r="F242" s="1">
        <v>20.49918988278203</v>
      </c>
      <c r="G242" s="1">
        <v>0.16552985609683202</v>
      </c>
    </row>
    <row r="243" spans="4:7" x14ac:dyDescent="0.35">
      <c r="D243" s="1">
        <v>0.53828276347250825</v>
      </c>
      <c r="E243" s="1">
        <v>12.489860626509959</v>
      </c>
      <c r="F243" s="1">
        <v>19.797151165847485</v>
      </c>
      <c r="G243" s="1">
        <v>-1.5155161660677077</v>
      </c>
    </row>
    <row r="244" spans="4:7" x14ac:dyDescent="0.35">
      <c r="D244" s="1">
        <v>0.48783883363317548</v>
      </c>
      <c r="E244" s="1">
        <v>10.998506581861918</v>
      </c>
      <c r="F244" s="1">
        <v>18.668544168989126</v>
      </c>
      <c r="G244" s="1">
        <v>-1.7321633180156419</v>
      </c>
    </row>
    <row r="245" spans="4:7" x14ac:dyDescent="0.35">
      <c r="D245" s="1">
        <v>0.44710132377845513</v>
      </c>
      <c r="E245" s="1">
        <v>13.110611120677257</v>
      </c>
      <c r="F245" s="1">
        <v>20.962835783503827</v>
      </c>
      <c r="G245" s="1">
        <v>0.88463922494566505</v>
      </c>
    </row>
    <row r="246" spans="4:7" x14ac:dyDescent="0.35">
      <c r="D246" s="1">
        <v>0.53324044670681803</v>
      </c>
      <c r="E246" s="1">
        <v>14.705900220133088</v>
      </c>
      <c r="F246" s="1">
        <v>19.584244031836377</v>
      </c>
      <c r="G246" s="1">
        <v>0.2615937336805223</v>
      </c>
    </row>
    <row r="247" spans="4:7" x14ac:dyDescent="0.35">
      <c r="D247" s="1">
        <v>0.55285259864530012</v>
      </c>
      <c r="E247" s="1">
        <v>15.46021298775611</v>
      </c>
      <c r="F247" s="1">
        <v>20.251401256030263</v>
      </c>
      <c r="G247" s="1">
        <v>0.34074511039114302</v>
      </c>
    </row>
    <row r="248" spans="4:7" x14ac:dyDescent="0.35">
      <c r="D248" s="1">
        <v>0.53417902986875132</v>
      </c>
      <c r="E248" s="1">
        <v>14.394300520549587</v>
      </c>
      <c r="F248" s="1">
        <v>18.105716316109927</v>
      </c>
      <c r="G248" s="1">
        <v>4.1739560373552252E-3</v>
      </c>
    </row>
    <row r="249" spans="4:7" x14ac:dyDescent="0.35">
      <c r="D249" s="1">
        <v>0.41914959971520899</v>
      </c>
      <c r="E249" s="1">
        <v>12.251678296041701</v>
      </c>
      <c r="F249" s="1">
        <v>17.640025973067672</v>
      </c>
      <c r="G249" s="1">
        <v>0.67014384521210191</v>
      </c>
    </row>
    <row r="250" spans="4:7" x14ac:dyDescent="0.35">
      <c r="D250" s="1">
        <v>0.44686005051440053</v>
      </c>
      <c r="E250" s="1">
        <v>16.242938170655101</v>
      </c>
      <c r="F250" s="1">
        <v>18.269540371379904</v>
      </c>
      <c r="G250" s="1">
        <v>3.6956930363701641</v>
      </c>
    </row>
    <row r="251" spans="4:7" x14ac:dyDescent="0.35">
      <c r="D251" s="1">
        <v>0.53517663738025667</v>
      </c>
      <c r="E251" s="1">
        <v>15.261892377573943</v>
      </c>
      <c r="F251" s="1">
        <v>19.719495720877916</v>
      </c>
      <c r="G251" s="1">
        <v>0.63401637161668556</v>
      </c>
    </row>
    <row r="252" spans="4:7" x14ac:dyDescent="0.35">
      <c r="D252" s="1">
        <v>0.4131587388944265</v>
      </c>
      <c r="E252" s="1">
        <v>17.235745568185248</v>
      </c>
      <c r="F252" s="1">
        <v>20.33387925625879</v>
      </c>
      <c r="G252" s="1">
        <v>5.5257488014772331</v>
      </c>
    </row>
    <row r="253" spans="4:7" x14ac:dyDescent="0.35">
      <c r="D253" s="1">
        <v>0.56071181195206898</v>
      </c>
      <c r="E253" s="1">
        <v>17.431063152847379</v>
      </c>
      <c r="F253" s="1">
        <v>18.92949248102088</v>
      </c>
      <c r="G253" s="1">
        <v>1.5460671370317662</v>
      </c>
    </row>
    <row r="254" spans="4:7" x14ac:dyDescent="0.35">
      <c r="D254" s="1">
        <v>0.58065006232568039</v>
      </c>
      <c r="E254" s="1">
        <v>18.278389704172795</v>
      </c>
      <c r="F254" s="1">
        <v>22.274503213690114</v>
      </c>
      <c r="G254" s="1">
        <v>1.5586689944312817</v>
      </c>
    </row>
    <row r="255" spans="4:7" x14ac:dyDescent="0.35">
      <c r="D255" s="1">
        <v>0.56005703966646903</v>
      </c>
      <c r="E255" s="1">
        <v>11.869347104607122</v>
      </c>
      <c r="F255" s="1">
        <v>17.850544746845859</v>
      </c>
      <c r="G255" s="1">
        <v>-2.3980474514293117</v>
      </c>
    </row>
    <row r="256" spans="4:7" x14ac:dyDescent="0.35">
      <c r="D256" s="1">
        <v>0.50096508630319425</v>
      </c>
      <c r="E256" s="1">
        <v>14.424651980932207</v>
      </c>
      <c r="F256" s="1">
        <v>19.685187234953617</v>
      </c>
      <c r="G256" s="1">
        <v>0.80296157325613626</v>
      </c>
    </row>
    <row r="257" spans="4:7" x14ac:dyDescent="0.35">
      <c r="D257" s="1">
        <v>0.49285362529381499</v>
      </c>
      <c r="E257" s="1">
        <v>13.81255941495025</v>
      </c>
      <c r="F257" s="1">
        <v>18.634400747068717</v>
      </c>
      <c r="G257" s="1">
        <v>0.48972952451987511</v>
      </c>
    </row>
    <row r="258" spans="4:7" x14ac:dyDescent="0.35">
      <c r="D258" s="1">
        <v>0.50024809051217556</v>
      </c>
      <c r="E258" s="1">
        <v>15.815663901787424</v>
      </c>
      <c r="F258" s="1">
        <v>19.027236692246277</v>
      </c>
      <c r="G258" s="1">
        <v>1.9455081125750073</v>
      </c>
    </row>
    <row r="259" spans="4:7" x14ac:dyDescent="0.35">
      <c r="D259" s="1">
        <v>0.43801032630747966</v>
      </c>
      <c r="E259" s="1">
        <v>14.295821634135304</v>
      </c>
      <c r="F259" s="1">
        <v>19.01086339781148</v>
      </c>
      <c r="G259" s="1">
        <v>2.1563574172234792</v>
      </c>
    </row>
    <row r="260" spans="4:7" x14ac:dyDescent="0.35">
      <c r="D260" s="1">
        <v>0.52323755507447423</v>
      </c>
      <c r="E260" s="1">
        <v>18.534953283540681</v>
      </c>
      <c r="F260" s="1">
        <v>19.694161791988673</v>
      </c>
      <c r="G260" s="1">
        <v>3.4562559823744219</v>
      </c>
    </row>
    <row r="261" spans="4:7" x14ac:dyDescent="0.35">
      <c r="D261" s="1">
        <v>0.36146650928780533</v>
      </c>
      <c r="E261" s="1">
        <v>15.761826945253928</v>
      </c>
      <c r="F261" s="1">
        <v>20.209624174912413</v>
      </c>
      <c r="G261" s="1">
        <v>5.4444635340630549</v>
      </c>
    </row>
    <row r="262" spans="4:7" x14ac:dyDescent="0.35">
      <c r="D262" s="1">
        <v>0.58494552194074334</v>
      </c>
      <c r="E262" s="1">
        <v>14.574973808862527</v>
      </c>
      <c r="F262" s="1">
        <v>20.229288868863822</v>
      </c>
      <c r="G262" s="1">
        <v>-1.057812669264806</v>
      </c>
    </row>
    <row r="263" spans="4:7" x14ac:dyDescent="0.35">
      <c r="D263" s="1">
        <v>0.50462828057449705</v>
      </c>
      <c r="E263" s="1">
        <v>9.76540093497551</v>
      </c>
      <c r="F263" s="1">
        <v>20.356357787752252</v>
      </c>
      <c r="G263" s="1">
        <v>-3.0204648038659827</v>
      </c>
    </row>
    <row r="264" spans="4:7" x14ac:dyDescent="0.35">
      <c r="D264" s="1">
        <v>0.54138521398668016</v>
      </c>
      <c r="E264" s="1">
        <v>16.582594536553657</v>
      </c>
      <c r="F264" s="1">
        <v>19.31880244251602</v>
      </c>
      <c r="G264" s="1">
        <v>1.4614703344935234</v>
      </c>
    </row>
    <row r="265" spans="4:7" x14ac:dyDescent="0.35">
      <c r="D265" s="1">
        <v>0.43373834365248531</v>
      </c>
      <c r="E265" s="1">
        <v>16.995678358258921</v>
      </c>
      <c r="F265" s="1">
        <v>18.446045996957086</v>
      </c>
      <c r="G265" s="1">
        <v>4.7311592518193528</v>
      </c>
    </row>
    <row r="266" spans="4:7" x14ac:dyDescent="0.35">
      <c r="D266" s="1">
        <v>0.4144724429887206</v>
      </c>
      <c r="E266" s="1">
        <v>18.10180783708039</v>
      </c>
      <c r="F266" s="1">
        <v>20.840387081434177</v>
      </c>
      <c r="G266" s="1">
        <v>6.3103218315642735</v>
      </c>
    </row>
    <row r="267" spans="4:7" x14ac:dyDescent="0.35">
      <c r="D267" s="1">
        <v>0.47088097335998691</v>
      </c>
      <c r="E267" s="1">
        <v>13.136611929467596</v>
      </c>
      <c r="F267" s="1">
        <v>19.516794570541396</v>
      </c>
      <c r="G267" s="1">
        <v>0.40202168666475629</v>
      </c>
    </row>
    <row r="268" spans="4:7" x14ac:dyDescent="0.35">
      <c r="D268" s="1">
        <v>0.58097108157764987</v>
      </c>
      <c r="E268" s="1">
        <v>15.093921672481605</v>
      </c>
      <c r="F268" s="1">
        <v>19.121703867935505</v>
      </c>
      <c r="G268" s="1">
        <v>-0.61183854068665577</v>
      </c>
    </row>
    <row r="269" spans="4:7" x14ac:dyDescent="0.35">
      <c r="D269" s="1">
        <v>0.52064229214257873</v>
      </c>
      <c r="E269" s="1">
        <v>12.582915257201702</v>
      </c>
      <c r="F269" s="1">
        <v>20.455577867477604</v>
      </c>
      <c r="G269" s="1">
        <v>-1.0864624065897714</v>
      </c>
    </row>
    <row r="270" spans="4:7" x14ac:dyDescent="0.35">
      <c r="D270" s="1">
        <v>0.52811174117857351</v>
      </c>
      <c r="E270" s="1">
        <v>15.149686758686874</v>
      </c>
      <c r="F270" s="1">
        <v>20.19764036703577</v>
      </c>
      <c r="G270" s="1">
        <v>0.72288546558219269</v>
      </c>
    </row>
    <row r="271" spans="4:7" x14ac:dyDescent="0.35">
      <c r="D271" s="1">
        <v>0.41528883376688874</v>
      </c>
      <c r="E271" s="1">
        <v>14.097914736140094</v>
      </c>
      <c r="F271" s="1">
        <v>19.404168636928627</v>
      </c>
      <c r="G271" s="1">
        <v>2.494996648075702</v>
      </c>
    </row>
    <row r="272" spans="4:7" x14ac:dyDescent="0.35">
      <c r="D272" s="1">
        <v>0.50637560000538095</v>
      </c>
      <c r="E272" s="1">
        <v>16.930762362193761</v>
      </c>
      <c r="F272" s="1">
        <v>19.687273980662027</v>
      </c>
      <c r="G272" s="1">
        <v>2.6799883176176045</v>
      </c>
    </row>
    <row r="273" spans="4:7" x14ac:dyDescent="0.35">
      <c r="D273" s="1">
        <v>0.48996955210292348</v>
      </c>
      <c r="E273" s="1">
        <v>14.405257311550104</v>
      </c>
      <c r="F273" s="1">
        <v>20.296020042750747</v>
      </c>
      <c r="G273" s="1">
        <v>1.0438019482123202</v>
      </c>
    </row>
    <row r="274" spans="4:7" x14ac:dyDescent="0.35">
      <c r="D274" s="1">
        <v>0.47830168763534969</v>
      </c>
      <c r="E274" s="1">
        <v>16.299606525445995</v>
      </c>
      <c r="F274" s="1">
        <v>21.6271610260549</v>
      </c>
      <c r="G274" s="1">
        <v>2.9164964641269036</v>
      </c>
    </row>
    <row r="275" spans="4:7" x14ac:dyDescent="0.35">
      <c r="D275" s="1">
        <v>0.53142709854243197</v>
      </c>
      <c r="E275" s="1">
        <v>11.006924667803037</v>
      </c>
      <c r="F275" s="1">
        <v>19.346728150999489</v>
      </c>
      <c r="G275" s="1">
        <v>-2.5021621481037415</v>
      </c>
    </row>
    <row r="276" spans="4:7" x14ac:dyDescent="0.35">
      <c r="D276" s="1">
        <v>0.43320702740980055</v>
      </c>
      <c r="E276" s="1">
        <v>13.383886265006721</v>
      </c>
      <c r="F276" s="1">
        <v>20.132098174177727</v>
      </c>
      <c r="G276" s="1">
        <v>1.4304891444311216</v>
      </c>
    </row>
    <row r="277" spans="4:7" x14ac:dyDescent="0.35">
      <c r="D277" s="1">
        <v>0.53886931894901957</v>
      </c>
      <c r="E277" s="1">
        <v>16.097261186124893</v>
      </c>
      <c r="F277" s="1">
        <v>20.369755679695672</v>
      </c>
      <c r="G277" s="1">
        <v>1.1665926196581105</v>
      </c>
    </row>
    <row r="278" spans="4:7" x14ac:dyDescent="0.35">
      <c r="D278" s="1">
        <v>0.36874404126901372</v>
      </c>
      <c r="E278" s="1">
        <v>13.999413863854201</v>
      </c>
      <c r="F278" s="1">
        <v>19.747272834899878</v>
      </c>
      <c r="G278" s="1">
        <v>3.4569746679472049</v>
      </c>
    </row>
    <row r="279" spans="4:7" x14ac:dyDescent="0.35">
      <c r="D279" s="1">
        <v>0.52153060288452247</v>
      </c>
      <c r="E279" s="1">
        <v>11.923133624281324</v>
      </c>
      <c r="F279" s="1">
        <v>19.50235545093161</v>
      </c>
      <c r="G279" s="1">
        <v>-1.6158093845041801</v>
      </c>
    </row>
    <row r="280" spans="4:7" x14ac:dyDescent="0.35">
      <c r="D280" s="1">
        <v>0.45286263111058966</v>
      </c>
      <c r="E280" s="1">
        <v>19.447606914980657</v>
      </c>
      <c r="F280" s="1">
        <v>21.221634843409184</v>
      </c>
      <c r="G280" s="1">
        <v>6.3773765452803657</v>
      </c>
    </row>
    <row r="281" spans="4:7" x14ac:dyDescent="0.35">
      <c r="D281" s="1">
        <v>0.49635137474293567</v>
      </c>
      <c r="E281" s="1">
        <v>11.036928907150664</v>
      </c>
      <c r="F281" s="1">
        <v>21.243188110475245</v>
      </c>
      <c r="G281" s="1">
        <v>-1.8524481932709169</v>
      </c>
    </row>
    <row r="282" spans="4:7" x14ac:dyDescent="0.35">
      <c r="D282" s="1">
        <v>0.48979850887004828</v>
      </c>
      <c r="E282" s="1">
        <v>14.0060986446314</v>
      </c>
      <c r="F282" s="1">
        <v>19.694154590211969</v>
      </c>
      <c r="G282" s="1">
        <v>0.71798348135548573</v>
      </c>
    </row>
    <row r="283" spans="4:7" x14ac:dyDescent="0.35">
      <c r="D283" s="1">
        <v>0.50027312832129378</v>
      </c>
      <c r="E283" s="1">
        <v>16.871845738569874</v>
      </c>
      <c r="F283" s="1">
        <v>20.595019359748974</v>
      </c>
      <c r="G283" s="1">
        <v>2.7996308916252679</v>
      </c>
    </row>
    <row r="284" spans="4:7" x14ac:dyDescent="0.35">
      <c r="D284" s="1">
        <v>0.51635137078069804</v>
      </c>
      <c r="E284" s="1">
        <v>15.805249258807372</v>
      </c>
      <c r="F284" s="1">
        <v>18.719323308441691</v>
      </c>
      <c r="G284" s="1">
        <v>1.5248956947183165</v>
      </c>
    </row>
    <row r="285" spans="4:7" x14ac:dyDescent="0.35">
      <c r="D285" s="1">
        <v>0.59041235306198303</v>
      </c>
      <c r="E285" s="1">
        <v>12.690903159108563</v>
      </c>
      <c r="F285" s="1">
        <v>21.378393722819776</v>
      </c>
      <c r="G285" s="1">
        <v>-2.4365886465143576</v>
      </c>
    </row>
    <row r="286" spans="4:7" x14ac:dyDescent="0.35">
      <c r="D286" s="1">
        <v>0.43571640519981092</v>
      </c>
      <c r="E286" s="1">
        <v>15.490560697442779</v>
      </c>
      <c r="F286" s="1">
        <v>17.961330709205612</v>
      </c>
      <c r="G286" s="1">
        <v>3.3012714091229638</v>
      </c>
    </row>
    <row r="287" spans="4:7" x14ac:dyDescent="0.35">
      <c r="D287" s="1">
        <v>0.55517812752926743</v>
      </c>
      <c r="E287" s="1">
        <v>17.4702339072151</v>
      </c>
      <c r="F287" s="1">
        <v>19.168289151954877</v>
      </c>
      <c r="G287" s="1">
        <v>1.7304964678289736</v>
      </c>
    </row>
    <row r="288" spans="4:7" x14ac:dyDescent="0.35">
      <c r="D288" s="1">
        <v>0.57321508962867451</v>
      </c>
      <c r="E288" s="1">
        <v>14.54246185182722</v>
      </c>
      <c r="F288" s="1">
        <v>20.836304211178643</v>
      </c>
      <c r="G288" s="1">
        <v>-0.80340067170996654</v>
      </c>
    </row>
    <row r="289" spans="4:7" x14ac:dyDescent="0.35">
      <c r="D289" s="1">
        <v>0.53421109761854013</v>
      </c>
      <c r="E289" s="1">
        <v>17.552587347956326</v>
      </c>
      <c r="F289" s="1">
        <v>22.086441298969525</v>
      </c>
      <c r="G289" s="1">
        <v>2.3858312918523263</v>
      </c>
    </row>
    <row r="290" spans="4:7" x14ac:dyDescent="0.35">
      <c r="D290" s="1">
        <v>0.50363268412597451</v>
      </c>
      <c r="E290" s="1">
        <v>14.818671577989573</v>
      </c>
      <c r="F290" s="1">
        <v>18.871053283672829</v>
      </c>
      <c r="G290" s="1">
        <v>1.0573802892590121</v>
      </c>
    </row>
    <row r="291" spans="4:7" x14ac:dyDescent="0.35">
      <c r="D291" s="1">
        <v>0.42822886206753397</v>
      </c>
      <c r="E291" s="1">
        <v>17.506873041947234</v>
      </c>
      <c r="F291" s="1">
        <v>19.418116069210718</v>
      </c>
      <c r="G291" s="1">
        <v>5.3561539902980924</v>
      </c>
    </row>
    <row r="292" spans="4:7" x14ac:dyDescent="0.35">
      <c r="D292" s="1">
        <v>0.4360545762039344</v>
      </c>
      <c r="E292" s="1">
        <v>18.028014850151401</v>
      </c>
      <c r="F292" s="1">
        <v>18.750064587691501</v>
      </c>
      <c r="G292" s="1">
        <v>5.6102366234054211</v>
      </c>
    </row>
    <row r="293" spans="4:7" x14ac:dyDescent="0.35">
      <c r="D293" s="1">
        <v>0.57476356753459823</v>
      </c>
      <c r="E293" s="1">
        <v>16.809974289810864</v>
      </c>
      <c r="F293" s="1">
        <v>20.308761401325057</v>
      </c>
      <c r="G293" s="1">
        <v>0.72167764417385893</v>
      </c>
    </row>
    <row r="294" spans="4:7" x14ac:dyDescent="0.35">
      <c r="D294" s="1">
        <v>0.44325177028493074</v>
      </c>
      <c r="E294" s="1">
        <v>15.345153974359111</v>
      </c>
      <c r="F294" s="1">
        <v>19.797654278581138</v>
      </c>
      <c r="G294" s="1">
        <v>2.9811299541404668</v>
      </c>
    </row>
    <row r="295" spans="4:7" x14ac:dyDescent="0.35">
      <c r="D295" s="1">
        <v>0.44552899178811078</v>
      </c>
      <c r="E295" s="1">
        <v>15.688703209341064</v>
      </c>
      <c r="F295" s="1">
        <v>22.690023929600748</v>
      </c>
      <c r="G295" s="1">
        <v>3.233029567572637</v>
      </c>
    </row>
    <row r="296" spans="4:7" x14ac:dyDescent="0.35">
      <c r="D296" s="1">
        <v>0.59280730667458525</v>
      </c>
      <c r="E296" s="1">
        <v>14.826244007529519</v>
      </c>
      <c r="F296" s="1">
        <v>20.02832636524683</v>
      </c>
      <c r="G296" s="1">
        <v>-1.0776835222670691</v>
      </c>
    </row>
    <row r="297" spans="4:7" x14ac:dyDescent="0.35">
      <c r="D297" s="1">
        <v>0.49036909841021364</v>
      </c>
      <c r="E297" s="1">
        <v>15.829691127856453</v>
      </c>
      <c r="F297" s="1">
        <v>19.813728657307024</v>
      </c>
      <c r="G297" s="1">
        <v>2.2101169798242069</v>
      </c>
    </row>
    <row r="298" spans="4:7" x14ac:dyDescent="0.35">
      <c r="D298" s="1">
        <v>0.50006643519141369</v>
      </c>
      <c r="E298" s="1">
        <v>12.490624332159063</v>
      </c>
      <c r="F298" s="1">
        <v>22.774828313380155</v>
      </c>
      <c r="G298" s="1">
        <v>-0.7418944285377318</v>
      </c>
    </row>
    <row r="299" spans="4:7" x14ac:dyDescent="0.35">
      <c r="D299" s="1">
        <v>0.52165114762247433</v>
      </c>
      <c r="E299" s="1">
        <v>14.670007439610744</v>
      </c>
      <c r="F299" s="1">
        <v>20.906231961328942</v>
      </c>
      <c r="G299" s="1">
        <v>0.50979774769399211</v>
      </c>
    </row>
    <row r="300" spans="4:7" x14ac:dyDescent="0.35">
      <c r="D300" s="1">
        <v>0.50969279123500577</v>
      </c>
      <c r="E300" s="1">
        <v>12.108706656867966</v>
      </c>
      <c r="F300" s="1">
        <v>22.111719371679282</v>
      </c>
      <c r="G300" s="1">
        <v>-1.2398775200326486</v>
      </c>
    </row>
    <row r="301" spans="4:7" x14ac:dyDescent="0.35">
      <c r="D301" s="1">
        <v>0.57031311585566036</v>
      </c>
      <c r="E301" s="1">
        <v>15.049721989739231</v>
      </c>
      <c r="F301" s="1">
        <v>18.680984198371469</v>
      </c>
      <c r="G301" s="1">
        <v>-0.38206957071478403</v>
      </c>
    </row>
    <row r="302" spans="4:7" x14ac:dyDescent="0.35">
      <c r="D302" s="1">
        <v>0.51586103801295258</v>
      </c>
      <c r="E302" s="1">
        <v>13.487718110415523</v>
      </c>
      <c r="F302" s="1">
        <v>18.678036285277337</v>
      </c>
      <c r="G302" s="1">
        <v>-0.27961868965606118</v>
      </c>
    </row>
    <row r="303" spans="4:7" x14ac:dyDescent="0.35">
      <c r="D303" s="1">
        <v>0.53784692834196746</v>
      </c>
      <c r="E303" s="1">
        <v>16.359876608344827</v>
      </c>
      <c r="F303" s="1">
        <v>20.874012748781734</v>
      </c>
      <c r="G303" s="1">
        <v>1.3897990414602399</v>
      </c>
    </row>
    <row r="304" spans="4:7" x14ac:dyDescent="0.35">
      <c r="D304" s="1">
        <v>0.50162000136830776</v>
      </c>
      <c r="E304" s="1">
        <v>13.47157551548703</v>
      </c>
      <c r="F304" s="1">
        <v>19.543003397697706</v>
      </c>
      <c r="G304" s="1">
        <v>1.8420099605446241E-2</v>
      </c>
    </row>
    <row r="305" spans="4:7" x14ac:dyDescent="0.35">
      <c r="D305" s="1">
        <v>0.45917804555548258</v>
      </c>
      <c r="E305" s="1">
        <v>18.977704301885353</v>
      </c>
      <c r="F305" s="1">
        <v>20.596008728880101</v>
      </c>
      <c r="G305" s="1">
        <v>5.7669091589361612</v>
      </c>
    </row>
    <row r="306" spans="4:7" x14ac:dyDescent="0.35">
      <c r="D306" s="1">
        <v>0.47988645285181597</v>
      </c>
      <c r="E306" s="1">
        <v>16.109038911519441</v>
      </c>
      <c r="F306" s="1">
        <v>18.346494840692472</v>
      </c>
      <c r="G306" s="1">
        <v>2.7141462629272972</v>
      </c>
    </row>
    <row r="307" spans="4:7" x14ac:dyDescent="0.35">
      <c r="D307" s="1">
        <v>0.48156259998142426</v>
      </c>
      <c r="E307" s="1">
        <v>11.429144093680984</v>
      </c>
      <c r="F307" s="1">
        <v>18.411729981841013</v>
      </c>
      <c r="G307" s="1">
        <v>-1.2588098805643653</v>
      </c>
    </row>
    <row r="308" spans="4:7" x14ac:dyDescent="0.35">
      <c r="D308" s="1">
        <v>0.45150029652042578</v>
      </c>
      <c r="E308" s="1">
        <v>15.280515500728654</v>
      </c>
      <c r="F308" s="1">
        <v>20.790226815838118</v>
      </c>
      <c r="G308" s="1">
        <v>2.71872752409528</v>
      </c>
    </row>
    <row r="309" spans="4:7" x14ac:dyDescent="0.35">
      <c r="D309" s="1">
        <v>0.45541782047164253</v>
      </c>
      <c r="E309" s="1">
        <v>15.991078315517305</v>
      </c>
      <c r="F309" s="1">
        <v>19.667035412643994</v>
      </c>
      <c r="G309" s="1">
        <v>3.2484554062903581</v>
      </c>
    </row>
    <row r="310" spans="4:7" x14ac:dyDescent="0.35">
      <c r="D310" s="1">
        <v>0.55689418471863572</v>
      </c>
      <c r="E310" s="1">
        <v>17.510358111567704</v>
      </c>
      <c r="F310" s="1">
        <v>20.130141228447982</v>
      </c>
      <c r="G310" s="1">
        <v>1.7107377886093464</v>
      </c>
    </row>
    <row r="311" spans="4:7" x14ac:dyDescent="0.35">
      <c r="D311" s="1">
        <v>0.49234151334716075</v>
      </c>
      <c r="E311" s="1">
        <v>17.019882307574594</v>
      </c>
      <c r="F311" s="1">
        <v>19.579646181169647</v>
      </c>
      <c r="G311" s="1">
        <v>3.1380579278776701</v>
      </c>
    </row>
    <row r="312" spans="4:7" x14ac:dyDescent="0.35">
      <c r="D312" s="1">
        <v>0.36759372185979217</v>
      </c>
      <c r="E312" s="1">
        <v>18.318727060228188</v>
      </c>
      <c r="F312" s="1">
        <v>21.426464433054267</v>
      </c>
      <c r="G312" s="1">
        <v>7.9067550639868189</v>
      </c>
    </row>
    <row r="313" spans="4:7" x14ac:dyDescent="0.35">
      <c r="D313" s="1">
        <v>0.51371210245503973</v>
      </c>
      <c r="E313" s="1">
        <v>11.223188861177004</v>
      </c>
      <c r="F313" s="1">
        <v>20.942814870318664</v>
      </c>
      <c r="G313" s="1">
        <v>-2.016069095396877</v>
      </c>
    </row>
    <row r="314" spans="4:7" x14ac:dyDescent="0.35">
      <c r="D314" s="1">
        <v>0.54571503296677482</v>
      </c>
      <c r="E314" s="1">
        <v>16.962853262801659</v>
      </c>
      <c r="F314" s="1">
        <v>18.807996306669271</v>
      </c>
      <c r="G314" s="1">
        <v>1.6249503975774564</v>
      </c>
    </row>
    <row r="315" spans="4:7" x14ac:dyDescent="0.35">
      <c r="D315" s="1">
        <v>0.47466672098310814</v>
      </c>
      <c r="E315" s="1">
        <v>13.219984050906465</v>
      </c>
      <c r="F315" s="1">
        <v>18.296313668123226</v>
      </c>
      <c r="G315" s="1">
        <v>0.39241211740152654</v>
      </c>
    </row>
    <row r="316" spans="4:7" x14ac:dyDescent="0.35">
      <c r="D316" s="1">
        <v>0.49004236909338689</v>
      </c>
      <c r="E316" s="1">
        <v>16.792554187935441</v>
      </c>
      <c r="F316" s="1">
        <v>20.548887298700571</v>
      </c>
      <c r="G316" s="1">
        <v>3.0136876675262205</v>
      </c>
    </row>
    <row r="317" spans="4:7" x14ac:dyDescent="0.35">
      <c r="D317" s="1">
        <v>0.56407216192526011</v>
      </c>
      <c r="E317" s="1">
        <v>12.553326291288396</v>
      </c>
      <c r="F317" s="1">
        <v>20.492990512684433</v>
      </c>
      <c r="G317" s="1">
        <v>-1.9923543189202124</v>
      </c>
    </row>
    <row r="318" spans="4:7" x14ac:dyDescent="0.35">
      <c r="D318" s="1">
        <v>0.5192191804574493</v>
      </c>
      <c r="E318" s="1">
        <v>16.272880108153977</v>
      </c>
      <c r="F318" s="1">
        <v>20.925804897810487</v>
      </c>
      <c r="G318" s="1">
        <v>1.8155942918965489</v>
      </c>
    </row>
    <row r="319" spans="4:7" x14ac:dyDescent="0.35">
      <c r="D319" s="1">
        <v>0.53884815754299997</v>
      </c>
      <c r="E319" s="1">
        <v>12.947936782466964</v>
      </c>
      <c r="F319" s="1">
        <v>19.630392455188815</v>
      </c>
      <c r="G319" s="1">
        <v>-1.1848497212405968</v>
      </c>
    </row>
    <row r="320" spans="4:7" x14ac:dyDescent="0.35">
      <c r="D320" s="1">
        <v>0.51880539995809083</v>
      </c>
      <c r="E320" s="1">
        <v>15.646940007230235</v>
      </c>
      <c r="F320" s="1">
        <v>21.209809872181665</v>
      </c>
      <c r="G320" s="1">
        <v>1.3387139455397836</v>
      </c>
    </row>
    <row r="321" spans="4:7" x14ac:dyDescent="0.35">
      <c r="D321" s="1">
        <v>0.45568358390205571</v>
      </c>
      <c r="E321" s="1">
        <v>10.812295002439658</v>
      </c>
      <c r="F321" s="1">
        <v>20.353158711438148</v>
      </c>
      <c r="G321" s="1">
        <v>-1.323566433762468</v>
      </c>
    </row>
    <row r="322" spans="4:7" x14ac:dyDescent="0.35">
      <c r="D322" s="1">
        <v>0.50205628928336388</v>
      </c>
      <c r="E322" s="1">
        <v>15.602221035056363</v>
      </c>
      <c r="F322" s="1">
        <v>19.466818508400088</v>
      </c>
      <c r="G322" s="1">
        <v>1.7270723721828025</v>
      </c>
    </row>
    <row r="323" spans="4:7" x14ac:dyDescent="0.35">
      <c r="D323" s="1">
        <v>0.53510470018144374</v>
      </c>
      <c r="E323" s="1">
        <v>16.399060792209252</v>
      </c>
      <c r="F323" s="1">
        <v>20.40804563010968</v>
      </c>
      <c r="G323" s="1">
        <v>1.4919541423247207</v>
      </c>
    </row>
    <row r="324" spans="4:7" x14ac:dyDescent="0.35">
      <c r="D324" s="1">
        <v>0.4259929075554108</v>
      </c>
      <c r="E324" s="1">
        <v>16.285760459183518</v>
      </c>
      <c r="F324" s="1">
        <v>20.221279873357766</v>
      </c>
      <c r="G324" s="1">
        <v>4.2844119163336289</v>
      </c>
    </row>
    <row r="325" spans="4:7" x14ac:dyDescent="0.35">
      <c r="D325" s="1">
        <v>0.54208376842200401</v>
      </c>
      <c r="E325" s="1">
        <v>13.899612066564087</v>
      </c>
      <c r="F325" s="1">
        <v>22.554471972079227</v>
      </c>
      <c r="G325" s="1">
        <v>-0.54694883098614444</v>
      </c>
    </row>
    <row r="326" spans="4:7" x14ac:dyDescent="0.35">
      <c r="D326" s="1">
        <v>0.52590798195160304</v>
      </c>
      <c r="E326" s="1">
        <v>13.574552638507118</v>
      </c>
      <c r="F326" s="1">
        <v>21.629832527408592</v>
      </c>
      <c r="G326" s="1">
        <v>-0.43240469752145616</v>
      </c>
    </row>
    <row r="327" spans="4:7" x14ac:dyDescent="0.35">
      <c r="D327" s="1">
        <v>0.62993050011525098</v>
      </c>
      <c r="E327" s="1">
        <v>11.893014156417658</v>
      </c>
      <c r="F327" s="1">
        <v>19.221521819066595</v>
      </c>
      <c r="G327" s="1">
        <v>-3.7269806415084932</v>
      </c>
    </row>
    <row r="328" spans="4:7" x14ac:dyDescent="0.35">
      <c r="D328" s="1">
        <v>0.54628185284998865</v>
      </c>
      <c r="E328" s="1">
        <v>14.625188916953219</v>
      </c>
      <c r="F328" s="1">
        <v>19.096657850125709</v>
      </c>
      <c r="G328" s="1">
        <v>-0.10830427364291381</v>
      </c>
    </row>
    <row r="329" spans="4:7" x14ac:dyDescent="0.35">
      <c r="D329" s="1">
        <v>0.54284560464008791</v>
      </c>
      <c r="E329" s="1">
        <v>15.808301699263675</v>
      </c>
      <c r="F329" s="1">
        <v>20.035245759840844</v>
      </c>
      <c r="G329" s="1">
        <v>0.84900274358162708</v>
      </c>
    </row>
    <row r="330" spans="4:7" x14ac:dyDescent="0.35">
      <c r="D330" s="1">
        <v>0.3557365849451285</v>
      </c>
      <c r="E330" s="1">
        <v>13.758420065969137</v>
      </c>
      <c r="F330" s="1">
        <v>19.881609812195254</v>
      </c>
      <c r="G330" s="1">
        <v>3.5004305510047042</v>
      </c>
    </row>
    <row r="331" spans="4:7" x14ac:dyDescent="0.35">
      <c r="D331" s="1">
        <v>0.49153387132111032</v>
      </c>
      <c r="E331" s="1">
        <v>15.07877531827979</v>
      </c>
      <c r="F331" s="1">
        <v>18.736376923849825</v>
      </c>
      <c r="G331" s="1">
        <v>1.5619159299189804</v>
      </c>
    </row>
    <row r="332" spans="4:7" x14ac:dyDescent="0.35">
      <c r="D332" s="1">
        <v>0.4293536803798107</v>
      </c>
      <c r="E332" s="1">
        <v>13.105729072172078</v>
      </c>
      <c r="F332" s="1">
        <v>19.743257996511492</v>
      </c>
      <c r="G332" s="1">
        <v>1.2569514315920862</v>
      </c>
    </row>
    <row r="333" spans="4:7" x14ac:dyDescent="0.35">
      <c r="D333" s="1">
        <v>0.50064561070899549</v>
      </c>
      <c r="E333" s="1">
        <v>10.712873422400985</v>
      </c>
      <c r="F333" s="1">
        <v>19.830376674667562</v>
      </c>
      <c r="G333" s="1">
        <v>-2.1912650391004549</v>
      </c>
    </row>
    <row r="334" spans="4:7" x14ac:dyDescent="0.35">
      <c r="D334" s="1">
        <v>0.36942081493642254</v>
      </c>
      <c r="E334" s="1">
        <v>16.106872050582453</v>
      </c>
      <c r="F334" s="1">
        <v>19.967392637533809</v>
      </c>
      <c r="G334" s="1">
        <v>5.5937856114496878</v>
      </c>
    </row>
    <row r="335" spans="4:7" x14ac:dyDescent="0.35">
      <c r="D335" s="1">
        <v>0.34693404250342641</v>
      </c>
      <c r="E335" s="1">
        <v>15.454218361771366</v>
      </c>
      <c r="F335" s="1">
        <v>19.628638631242588</v>
      </c>
      <c r="G335" s="1">
        <v>5.49008345219631</v>
      </c>
    </row>
    <row r="336" spans="4:7" x14ac:dyDescent="0.35">
      <c r="D336" s="1">
        <v>0.52982076304122305</v>
      </c>
      <c r="E336" s="1">
        <v>13.511567387271864</v>
      </c>
      <c r="F336" s="1">
        <v>20.442852648415801</v>
      </c>
      <c r="G336" s="1">
        <v>-0.56638180326182253</v>
      </c>
    </row>
    <row r="337" spans="4:7" x14ac:dyDescent="0.35">
      <c r="D337" s="1">
        <v>0.42664767715697416</v>
      </c>
      <c r="E337" s="1">
        <v>15.912549867916882</v>
      </c>
      <c r="F337" s="1">
        <v>20.723453423396982</v>
      </c>
      <c r="G337" s="1">
        <v>3.9206051195641431</v>
      </c>
    </row>
    <row r="338" spans="4:7" x14ac:dyDescent="0.35">
      <c r="D338" s="1">
        <v>0.55726407358885688</v>
      </c>
      <c r="E338" s="1">
        <v>15.375370046370685</v>
      </c>
      <c r="F338" s="1">
        <v>20.561652765931363</v>
      </c>
      <c r="G338" s="1">
        <v>0.16946051073179036</v>
      </c>
    </row>
    <row r="339" spans="4:7" x14ac:dyDescent="0.35">
      <c r="D339" s="1">
        <v>0.51842409319679028</v>
      </c>
      <c r="E339" s="1">
        <v>15.589729912877994</v>
      </c>
      <c r="F339" s="1">
        <v>19.775908308029354</v>
      </c>
      <c r="G339" s="1">
        <v>1.3037579831684833</v>
      </c>
    </row>
    <row r="340" spans="4:7" x14ac:dyDescent="0.35">
      <c r="D340" s="1">
        <v>0.56712290956627265</v>
      </c>
      <c r="E340" s="1">
        <v>14.520120903040555</v>
      </c>
      <c r="F340" s="1">
        <v>20.701602704161047</v>
      </c>
      <c r="G340" s="1">
        <v>-0.67558437984481956</v>
      </c>
    </row>
    <row r="341" spans="4:7" x14ac:dyDescent="0.35">
      <c r="D341" s="1">
        <v>0.53945073269097754</v>
      </c>
      <c r="E341" s="1">
        <v>16.954009063507058</v>
      </c>
      <c r="F341" s="1">
        <v>21.04515081018414</v>
      </c>
      <c r="G341" s="1">
        <v>1.790440274919616</v>
      </c>
    </row>
    <row r="342" spans="4:7" x14ac:dyDescent="0.35">
      <c r="D342" s="1">
        <v>0.51854978303747701</v>
      </c>
      <c r="E342" s="1">
        <v>16.653937190382852</v>
      </c>
      <c r="F342" s="1">
        <v>17.747446930727701</v>
      </c>
      <c r="G342" s="1">
        <v>2.1303446251606903</v>
      </c>
    </row>
    <row r="343" spans="4:7" x14ac:dyDescent="0.35">
      <c r="D343" s="1">
        <v>0.5123862160271041</v>
      </c>
      <c r="E343" s="1">
        <v>17.621704593705637</v>
      </c>
      <c r="F343" s="1">
        <v>20.759544853567824</v>
      </c>
      <c r="G343" s="1">
        <v>3.0608062078432563</v>
      </c>
    </row>
    <row r="344" spans="4:7" x14ac:dyDescent="0.35">
      <c r="D344" s="1">
        <v>0.55657891750602351</v>
      </c>
      <c r="E344" s="1">
        <v>12.634265211827319</v>
      </c>
      <c r="F344" s="1">
        <v>20.253375089494941</v>
      </c>
      <c r="G344" s="1">
        <v>-1.7818948785903603</v>
      </c>
    </row>
    <row r="345" spans="4:7" x14ac:dyDescent="0.35">
      <c r="D345" s="1">
        <v>0.38395143506442064</v>
      </c>
      <c r="E345" s="1">
        <v>14.067991846851015</v>
      </c>
      <c r="F345" s="1">
        <v>18.984452614508211</v>
      </c>
      <c r="G345" s="1">
        <v>3.1806153514012272</v>
      </c>
    </row>
    <row r="346" spans="4:7" x14ac:dyDescent="0.35">
      <c r="D346" s="1">
        <v>0.44732595819252596</v>
      </c>
      <c r="E346" s="1">
        <v>14.535619566268068</v>
      </c>
      <c r="F346" s="1">
        <v>21.893138325621866</v>
      </c>
      <c r="G346" s="1">
        <v>2.1553136325786033</v>
      </c>
    </row>
    <row r="347" spans="4:7" x14ac:dyDescent="0.35">
      <c r="D347" s="1">
        <v>0.4108912176932582</v>
      </c>
      <c r="E347" s="1">
        <v>12.492900145176344</v>
      </c>
      <c r="F347" s="1">
        <v>21.586620341238827</v>
      </c>
      <c r="G347" s="1">
        <v>1.0641382967763429</v>
      </c>
    </row>
    <row r="348" spans="4:7" x14ac:dyDescent="0.35">
      <c r="D348" s="1">
        <v>0.54487821078587007</v>
      </c>
      <c r="E348" s="1">
        <v>15.978223635996732</v>
      </c>
      <c r="F348" s="1">
        <v>19.809425781901822</v>
      </c>
      <c r="G348" s="1">
        <v>0.92220817757643136</v>
      </c>
    </row>
    <row r="349" spans="4:7" x14ac:dyDescent="0.35">
      <c r="D349" s="1">
        <v>0.53273855461603892</v>
      </c>
      <c r="E349" s="1">
        <v>15.332698442807651</v>
      </c>
      <c r="F349" s="1">
        <v>19.490038357655585</v>
      </c>
      <c r="G349" s="1">
        <v>0.74785704392163899</v>
      </c>
    </row>
    <row r="350" spans="4:7" x14ac:dyDescent="0.35">
      <c r="D350" s="1">
        <v>0.55730326991605994</v>
      </c>
      <c r="E350" s="1">
        <v>18.644414965995722</v>
      </c>
      <c r="F350" s="1">
        <v>20.287764483188344</v>
      </c>
      <c r="G350" s="1">
        <v>2.5121847645709083</v>
      </c>
    </row>
    <row r="351" spans="4:7" x14ac:dyDescent="0.35">
      <c r="D351" s="1">
        <v>0.5964224043124311</v>
      </c>
      <c r="E351" s="1">
        <v>16.755782943214324</v>
      </c>
      <c r="F351" s="1">
        <v>20.173073808041167</v>
      </c>
      <c r="G351" s="1">
        <v>9.6632443085504546E-2</v>
      </c>
    </row>
    <row r="352" spans="4:7" x14ac:dyDescent="0.35">
      <c r="D352" s="1">
        <v>0.48907862286341797</v>
      </c>
      <c r="E352" s="1">
        <v>17.37481516421872</v>
      </c>
      <c r="F352" s="1">
        <v>18.774268153008908</v>
      </c>
      <c r="G352" s="1">
        <v>3.5216745200923061</v>
      </c>
    </row>
    <row r="353" spans="4:7" x14ac:dyDescent="0.35">
      <c r="D353" s="1">
        <v>0.5135589590212587</v>
      </c>
      <c r="E353" s="1">
        <v>17.092583949483682</v>
      </c>
      <c r="F353" s="1">
        <v>19.744675404002482</v>
      </c>
      <c r="G353" s="1">
        <v>2.6105077487641042</v>
      </c>
    </row>
    <row r="354" spans="4:7" x14ac:dyDescent="0.35">
      <c r="D354" s="1">
        <v>0.49078836458687042</v>
      </c>
      <c r="E354" s="1">
        <v>13.424469582322368</v>
      </c>
      <c r="F354" s="1">
        <v>19.711721905692126</v>
      </c>
      <c r="G354" s="1">
        <v>0.21588672893575808</v>
      </c>
    </row>
    <row r="355" spans="4:7" x14ac:dyDescent="0.35">
      <c r="D355" s="1">
        <v>0.55252700494348406</v>
      </c>
      <c r="E355" s="1">
        <v>14.595573898118348</v>
      </c>
      <c r="F355" s="1">
        <v>21.222393623938068</v>
      </c>
      <c r="G355" s="1">
        <v>-0.27768289409994462</v>
      </c>
    </row>
    <row r="356" spans="4:7" x14ac:dyDescent="0.35">
      <c r="D356" s="1">
        <v>0.54350332811367874</v>
      </c>
      <c r="E356" s="1">
        <v>16.164251370989255</v>
      </c>
      <c r="F356" s="1">
        <v>20.821493629284323</v>
      </c>
      <c r="G356" s="1">
        <v>1.0953128498542415</v>
      </c>
    </row>
    <row r="357" spans="4:7" x14ac:dyDescent="0.35">
      <c r="D357" s="1">
        <v>0.53124937074333833</v>
      </c>
      <c r="E357" s="1">
        <v>16.603174212072499</v>
      </c>
      <c r="F357" s="1">
        <v>20.118266362251134</v>
      </c>
      <c r="G357" s="1">
        <v>1.749292445927404</v>
      </c>
    </row>
    <row r="358" spans="4:7" x14ac:dyDescent="0.35">
      <c r="D358" s="1">
        <v>0.56905695457512229</v>
      </c>
      <c r="E358" s="1">
        <v>10.810851764949957</v>
      </c>
      <c r="F358" s="1">
        <v>19.734345785909834</v>
      </c>
      <c r="G358" s="1">
        <v>-3.309771577867874</v>
      </c>
    </row>
    <row r="359" spans="4:7" x14ac:dyDescent="0.35">
      <c r="D359" s="1">
        <v>0.46556885683378335</v>
      </c>
      <c r="E359" s="1">
        <v>13.647949925167545</v>
      </c>
      <c r="F359" s="1">
        <v>19.741761601831907</v>
      </c>
      <c r="G359" s="1">
        <v>0.95759659165221422</v>
      </c>
    </row>
    <row r="360" spans="4:7" x14ac:dyDescent="0.35">
      <c r="D360" s="1">
        <v>0.65770196770069755</v>
      </c>
      <c r="E360" s="1">
        <v>15.051271233229443</v>
      </c>
      <c r="F360" s="1">
        <v>20.619609439224085</v>
      </c>
      <c r="G360" s="1">
        <v>-2.5111115431588638</v>
      </c>
    </row>
    <row r="361" spans="4:7" x14ac:dyDescent="0.35">
      <c r="D361" s="1">
        <v>0.53267868944015273</v>
      </c>
      <c r="E361" s="1">
        <v>11.666882276599264</v>
      </c>
      <c r="F361" s="1">
        <v>20.433499580566838</v>
      </c>
      <c r="G361" s="1">
        <v>-2.0250056940293244</v>
      </c>
    </row>
    <row r="362" spans="4:7" x14ac:dyDescent="0.35">
      <c r="D362" s="1">
        <v>0.51038946063873392</v>
      </c>
      <c r="E362" s="1">
        <v>15.105358312358426</v>
      </c>
      <c r="F362" s="1">
        <v>21.202043608191932</v>
      </c>
      <c r="G362" s="1">
        <v>1.1225454555739973</v>
      </c>
    </row>
    <row r="363" spans="4:7" x14ac:dyDescent="0.35">
      <c r="D363" s="1">
        <v>0.51004428397410928</v>
      </c>
      <c r="E363" s="1">
        <v>17.434074642650181</v>
      </c>
      <c r="F363" s="1">
        <v>20.722454954352848</v>
      </c>
      <c r="G363" s="1">
        <v>2.9787610068200538</v>
      </c>
    </row>
    <row r="364" spans="4:7" x14ac:dyDescent="0.35">
      <c r="D364" s="1">
        <v>0.54968531752211347</v>
      </c>
      <c r="E364" s="1">
        <v>12.973060501490142</v>
      </c>
      <c r="F364" s="1">
        <v>19.764149198100394</v>
      </c>
      <c r="G364" s="1">
        <v>-1.3937708473297523</v>
      </c>
    </row>
    <row r="365" spans="4:7" x14ac:dyDescent="0.35">
      <c r="D365" s="1">
        <v>0.51568022741499964</v>
      </c>
      <c r="E365" s="1">
        <v>14.232165849876509</v>
      </c>
      <c r="F365" s="1">
        <v>20.091914565655795</v>
      </c>
      <c r="G365" s="1">
        <v>0.30823453441799747</v>
      </c>
    </row>
    <row r="366" spans="4:7" x14ac:dyDescent="0.35">
      <c r="D366" s="1">
        <v>0.48176701750765977</v>
      </c>
      <c r="E366" s="1">
        <v>15.400134358773281</v>
      </c>
      <c r="F366" s="1">
        <v>22.029532761363544</v>
      </c>
      <c r="G366" s="1">
        <v>2.0701257967833033</v>
      </c>
    </row>
    <row r="367" spans="4:7" x14ac:dyDescent="0.35">
      <c r="D367" s="1">
        <v>0.45589191032379639</v>
      </c>
      <c r="E367" s="1">
        <v>16.748702002743109</v>
      </c>
      <c r="F367" s="1">
        <v>17.596230626872799</v>
      </c>
      <c r="G367" s="1">
        <v>3.9037736040234723</v>
      </c>
    </row>
    <row r="368" spans="4:7" x14ac:dyDescent="0.35">
      <c r="D368" s="1">
        <v>0.55049329114218537</v>
      </c>
      <c r="E368" s="1">
        <v>16.017751362620391</v>
      </c>
      <c r="F368" s="1">
        <v>21.214259633756757</v>
      </c>
      <c r="G368" s="1">
        <v>0.80568511608107063</v>
      </c>
    </row>
    <row r="369" spans="4:7" x14ac:dyDescent="0.35">
      <c r="D369" s="1">
        <v>0.5175759732693449</v>
      </c>
      <c r="E369" s="1">
        <v>16.046669659356048</v>
      </c>
      <c r="F369" s="1">
        <v>18.613483785338982</v>
      </c>
      <c r="G369" s="1">
        <v>1.6821661374537316</v>
      </c>
    </row>
    <row r="370" spans="4:7" x14ac:dyDescent="0.35">
      <c r="D370" s="1">
        <v>0.53347652687887304</v>
      </c>
      <c r="E370" s="1">
        <v>14.637012804222556</v>
      </c>
      <c r="F370" s="1">
        <v>20.407085681004745</v>
      </c>
      <c r="G370" s="1">
        <v>0.20392517082356887</v>
      </c>
    </row>
    <row r="371" spans="4:7" x14ac:dyDescent="0.35">
      <c r="D371" s="1">
        <v>0.46276097105399339</v>
      </c>
      <c r="E371" s="1">
        <v>13.510783295493285</v>
      </c>
      <c r="F371" s="1">
        <v>21.380161341213594</v>
      </c>
      <c r="G371" s="1">
        <v>0.90031667997210019</v>
      </c>
    </row>
    <row r="372" spans="4:7" x14ac:dyDescent="0.35">
      <c r="D372" s="1">
        <v>0.47332541278697732</v>
      </c>
      <c r="E372" s="1">
        <v>12.454226562607014</v>
      </c>
      <c r="F372" s="1">
        <v>19.851563656471214</v>
      </c>
      <c r="G372" s="1">
        <v>-0.23201449736420807</v>
      </c>
    </row>
    <row r="373" spans="4:7" x14ac:dyDescent="0.35">
      <c r="D373" s="1">
        <v>0.48210135299631751</v>
      </c>
      <c r="E373" s="1">
        <v>17.202439867100157</v>
      </c>
      <c r="F373" s="1">
        <v>21.516442870151128</v>
      </c>
      <c r="G373" s="1">
        <v>3.5734262791897216</v>
      </c>
    </row>
    <row r="374" spans="4:7" x14ac:dyDescent="0.35">
      <c r="D374" s="1">
        <v>0.56531109925942036</v>
      </c>
      <c r="E374" s="1">
        <v>15.527027698365243</v>
      </c>
      <c r="F374" s="1">
        <v>16.287422472484117</v>
      </c>
      <c r="G374" s="1">
        <v>7.5851323233642409E-2</v>
      </c>
    </row>
    <row r="375" spans="4:7" x14ac:dyDescent="0.35">
      <c r="D375" s="1">
        <v>0.48191845396134986</v>
      </c>
      <c r="E375" s="1">
        <v>13.41918620544805</v>
      </c>
      <c r="F375" s="1">
        <v>20.584288125728222</v>
      </c>
      <c r="G375" s="1">
        <v>0.40429125199255189</v>
      </c>
    </row>
    <row r="376" spans="4:7" x14ac:dyDescent="0.35">
      <c r="D376" s="1">
        <v>0.48092340446415249</v>
      </c>
      <c r="E376" s="1">
        <v>14.128590966919559</v>
      </c>
      <c r="F376" s="1">
        <v>19.7166676834178</v>
      </c>
      <c r="G376" s="1">
        <v>1.0222646170967564</v>
      </c>
    </row>
    <row r="377" spans="4:7" x14ac:dyDescent="0.35">
      <c r="D377" s="1">
        <v>0.48135477898321199</v>
      </c>
      <c r="E377" s="1">
        <v>12.608296526932264</v>
      </c>
      <c r="F377" s="1">
        <v>19.228757490781202</v>
      </c>
      <c r="G377" s="1">
        <v>-0.2645528651894441</v>
      </c>
    </row>
    <row r="378" spans="4:7" x14ac:dyDescent="0.35">
      <c r="D378" s="1">
        <v>0.52157262680045158</v>
      </c>
      <c r="E378" s="1">
        <v>12.625057836992113</v>
      </c>
      <c r="F378" s="1">
        <v>20.41577388655006</v>
      </c>
      <c r="G378" s="1">
        <v>-1.0727683631453784</v>
      </c>
    </row>
    <row r="379" spans="4:7" x14ac:dyDescent="0.35">
      <c r="D379" s="1">
        <v>0.50640833497921234</v>
      </c>
      <c r="E379" s="1">
        <v>11.688961442628862</v>
      </c>
      <c r="F379" s="1">
        <v>17.862463595731693</v>
      </c>
      <c r="G379" s="1">
        <v>-1.5109978118772187</v>
      </c>
    </row>
    <row r="380" spans="4:7" x14ac:dyDescent="0.35">
      <c r="D380" s="1">
        <v>0.56019770202226327</v>
      </c>
      <c r="E380" s="1">
        <v>15.601257451479016</v>
      </c>
      <c r="F380" s="1">
        <v>19.217010381256131</v>
      </c>
      <c r="G380" s="1">
        <v>0.25730124592258768</v>
      </c>
    </row>
    <row r="381" spans="4:7" x14ac:dyDescent="0.35">
      <c r="D381" s="1">
        <v>0.51184205056584819</v>
      </c>
      <c r="E381" s="1">
        <v>13.382022173637685</v>
      </c>
      <c r="F381" s="1">
        <v>20.273734213264838</v>
      </c>
      <c r="G381" s="1">
        <v>-0.27539078828146285</v>
      </c>
    </row>
    <row r="382" spans="4:7" x14ac:dyDescent="0.35">
      <c r="D382" s="1">
        <v>0.45457703593838811</v>
      </c>
      <c r="E382" s="1">
        <v>17.298072799101135</v>
      </c>
      <c r="F382" s="1">
        <v>20.281983855411251</v>
      </c>
      <c r="G382" s="1">
        <v>4.4246977266140393</v>
      </c>
    </row>
    <row r="383" spans="4:7" x14ac:dyDescent="0.35">
      <c r="D383" s="1">
        <v>0.5460872665046157</v>
      </c>
      <c r="E383" s="1">
        <v>16.932476849788205</v>
      </c>
      <c r="F383" s="1">
        <v>21.515156219551358</v>
      </c>
      <c r="G383" s="1">
        <v>1.5923950438904093</v>
      </c>
    </row>
    <row r="384" spans="4:7" x14ac:dyDescent="0.35">
      <c r="D384" s="1">
        <v>0.37898359585972641</v>
      </c>
      <c r="E384" s="1">
        <v>10.90002592893644</v>
      </c>
      <c r="F384" s="1">
        <v>21.531971740560056</v>
      </c>
      <c r="G384" s="1">
        <v>0.10770369730463139</v>
      </c>
    </row>
    <row r="385" spans="4:7" x14ac:dyDescent="0.35">
      <c r="D385" s="1">
        <v>0.48283903989820065</v>
      </c>
      <c r="E385" s="1">
        <v>15.612406653538816</v>
      </c>
      <c r="F385" s="1">
        <v>20.276566389981827</v>
      </c>
      <c r="G385" s="1">
        <v>2.2211738850338389</v>
      </c>
    </row>
    <row r="386" spans="4:7" x14ac:dyDescent="0.35">
      <c r="D386" s="1">
        <v>0.46302301360046677</v>
      </c>
      <c r="E386" s="1">
        <v>14.223287017508797</v>
      </c>
      <c r="F386" s="1">
        <v>18.810131489414818</v>
      </c>
      <c r="G386" s="1">
        <v>1.514192020069528</v>
      </c>
    </row>
    <row r="387" spans="4:7" x14ac:dyDescent="0.35">
      <c r="D387" s="1">
        <v>0.45473730038872151</v>
      </c>
      <c r="E387" s="1">
        <v>14.227645757589167</v>
      </c>
      <c r="F387" s="1">
        <v>20.167710497873266</v>
      </c>
      <c r="G387" s="1">
        <v>1.7088964882745599</v>
      </c>
    </row>
    <row r="388" spans="4:7" x14ac:dyDescent="0.35">
      <c r="D388" s="1">
        <v>0.47414734891952087</v>
      </c>
      <c r="E388" s="1">
        <v>13.445242767634927</v>
      </c>
      <c r="F388" s="1">
        <v>20.509147625511911</v>
      </c>
      <c r="G388" s="1">
        <v>0.5953633659836195</v>
      </c>
    </row>
    <row r="389" spans="4:7" x14ac:dyDescent="0.35">
      <c r="D389" s="1">
        <v>0.55228291709363253</v>
      </c>
      <c r="E389" s="1">
        <v>11.194807711618397</v>
      </c>
      <c r="F389" s="1">
        <v>18.835772520193164</v>
      </c>
      <c r="G389" s="1">
        <v>-2.7376988857026792</v>
      </c>
    </row>
    <row r="390" spans="4:7" x14ac:dyDescent="0.35">
      <c r="D390" s="1">
        <v>0.46233340372967563</v>
      </c>
      <c r="E390" s="1">
        <v>15.012764796448671</v>
      </c>
      <c r="F390" s="1">
        <v>22.034251298533022</v>
      </c>
      <c r="G390" s="1">
        <v>2.2175056625165994</v>
      </c>
    </row>
    <row r="391" spans="4:7" x14ac:dyDescent="0.35">
      <c r="D391" s="1">
        <v>0.48794063314068431</v>
      </c>
      <c r="E391" s="1">
        <v>13.103790419564771</v>
      </c>
      <c r="F391" s="1">
        <v>20.332068668311535</v>
      </c>
      <c r="G391" s="1">
        <v>1.1869052773365958E-2</v>
      </c>
    </row>
    <row r="392" spans="4:7" x14ac:dyDescent="0.35">
      <c r="D392" s="1">
        <v>0.46950860297961788</v>
      </c>
      <c r="E392" s="1">
        <v>15.316135337937489</v>
      </c>
      <c r="F392" s="1">
        <v>20.324605448641393</v>
      </c>
      <c r="G392" s="1">
        <v>2.303687577729514</v>
      </c>
    </row>
    <row r="393" spans="4:7" x14ac:dyDescent="0.35">
      <c r="D393" s="1">
        <v>0.56583806282789295</v>
      </c>
      <c r="E393" s="1">
        <v>11.751822653046712</v>
      </c>
      <c r="F393" s="1">
        <v>19.263502007116962</v>
      </c>
      <c r="G393" s="1">
        <v>-2.5918043287142201</v>
      </c>
    </row>
    <row r="394" spans="4:7" x14ac:dyDescent="0.35">
      <c r="D394" s="1">
        <v>0.43809670741864964</v>
      </c>
      <c r="E394" s="1">
        <v>18.488861430529553</v>
      </c>
      <c r="F394" s="1">
        <v>17.783561935749297</v>
      </c>
      <c r="G394" s="1">
        <v>5.9699802467510219</v>
      </c>
    </row>
    <row r="395" spans="4:7" x14ac:dyDescent="0.35">
      <c r="D395" s="1">
        <v>0.56280273710175777</v>
      </c>
      <c r="E395" s="1">
        <v>10.921414471601373</v>
      </c>
      <c r="F395" s="1">
        <v>19.738291826044545</v>
      </c>
      <c r="G395" s="1">
        <v>-3.1219913545525091</v>
      </c>
    </row>
    <row r="396" spans="4:7" x14ac:dyDescent="0.35">
      <c r="D396" s="1">
        <v>0.5533308206104306</v>
      </c>
      <c r="E396" s="1">
        <v>14.329866084161582</v>
      </c>
      <c r="F396" s="1">
        <v>21.971217340212249</v>
      </c>
      <c r="G396" s="1">
        <v>-0.48888806525821954</v>
      </c>
    </row>
    <row r="397" spans="4:7" x14ac:dyDescent="0.35">
      <c r="D397" s="1">
        <v>0.46314077472958703</v>
      </c>
      <c r="E397" s="1">
        <v>13.536267497654974</v>
      </c>
      <c r="F397" s="1">
        <v>19.323064598368493</v>
      </c>
      <c r="G397" s="1">
        <v>0.91416318470976354</v>
      </c>
    </row>
    <row r="398" spans="4:7" x14ac:dyDescent="0.35">
      <c r="D398" s="1">
        <v>0.44287410633805113</v>
      </c>
      <c r="E398" s="1">
        <v>14.628587685445146</v>
      </c>
      <c r="F398" s="1">
        <v>20.79692424601085</v>
      </c>
      <c r="G398" s="1">
        <v>2.3439914360636469</v>
      </c>
    </row>
    <row r="399" spans="4:7" x14ac:dyDescent="0.35">
      <c r="D399" s="1">
        <v>0.5417890235021412</v>
      </c>
      <c r="E399" s="1">
        <v>14.379028544750357</v>
      </c>
      <c r="F399" s="1">
        <v>21.087003020572947</v>
      </c>
      <c r="G399" s="1">
        <v>-0.18455721062026703</v>
      </c>
    </row>
    <row r="400" spans="4:7" x14ac:dyDescent="0.35">
      <c r="D400" s="1">
        <v>0.50878967433690236</v>
      </c>
      <c r="E400" s="1">
        <v>14.823016391086187</v>
      </c>
      <c r="F400" s="1">
        <v>19.8551694495549</v>
      </c>
      <c r="G400" s="1">
        <v>0.93707656474994327</v>
      </c>
    </row>
    <row r="401" spans="4:7" x14ac:dyDescent="0.35">
      <c r="D401" s="1">
        <v>0.4777321859585546</v>
      </c>
      <c r="E401" s="1">
        <v>13.75354652377613</v>
      </c>
      <c r="F401" s="1">
        <v>17.959521406194128</v>
      </c>
      <c r="G401" s="1">
        <v>0.77806975685337487</v>
      </c>
    </row>
    <row r="402" spans="4:7" x14ac:dyDescent="0.35">
      <c r="D402" s="1">
        <v>0.62577825684745814</v>
      </c>
      <c r="E402" s="1">
        <v>14.308652179065303</v>
      </c>
      <c r="F402" s="1">
        <v>20.26235311434764</v>
      </c>
      <c r="G402" s="1">
        <v>-2.1830244985869882</v>
      </c>
    </row>
    <row r="403" spans="4:7" x14ac:dyDescent="0.35">
      <c r="D403" s="1">
        <v>0.44118780930858958</v>
      </c>
      <c r="E403" s="1">
        <v>14.19008461248915</v>
      </c>
      <c r="F403" s="1">
        <v>19.023983931093699</v>
      </c>
      <c r="G403" s="1">
        <v>1.9871028218867341</v>
      </c>
    </row>
    <row r="404" spans="4:7" x14ac:dyDescent="0.35">
      <c r="D404" s="1">
        <v>0.55224004117663217</v>
      </c>
      <c r="E404" s="1">
        <v>19.549765009563949</v>
      </c>
      <c r="F404" s="1">
        <v>20.846777477093372</v>
      </c>
      <c r="G404" s="1">
        <v>3.3215678319736943</v>
      </c>
    </row>
    <row r="405" spans="4:7" x14ac:dyDescent="0.35">
      <c r="D405" s="1">
        <v>0.45703233569902618</v>
      </c>
      <c r="E405" s="1">
        <v>14.976382735976047</v>
      </c>
      <c r="F405" s="1">
        <v>19.907497264990809</v>
      </c>
      <c r="G405" s="1">
        <v>2.3143980255514607</v>
      </c>
    </row>
    <row r="406" spans="4:7" x14ac:dyDescent="0.35">
      <c r="D406" s="1">
        <v>0.37484377622026666</v>
      </c>
      <c r="E406" s="1">
        <v>17.72137268137466</v>
      </c>
      <c r="F406" s="1">
        <v>20.626173352793103</v>
      </c>
      <c r="G406" s="1">
        <v>7.0868921341908626</v>
      </c>
    </row>
    <row r="407" spans="4:7" x14ac:dyDescent="0.35">
      <c r="D407" s="1">
        <v>0.44784425736631822</v>
      </c>
      <c r="E407" s="1">
        <v>16.294624274422446</v>
      </c>
      <c r="F407" s="1">
        <v>19.36775629109933</v>
      </c>
      <c r="G407" s="1">
        <v>3.7160213112643952</v>
      </c>
    </row>
    <row r="408" spans="4:7" x14ac:dyDescent="0.35">
      <c r="D408" s="1">
        <v>0.48115710305357234</v>
      </c>
      <c r="E408" s="1">
        <v>14.670207660540793</v>
      </c>
      <c r="F408" s="1">
        <v>20.697431362810899</v>
      </c>
      <c r="G408" s="1">
        <v>1.4720131259591946</v>
      </c>
    </row>
    <row r="409" spans="4:7" x14ac:dyDescent="0.35">
      <c r="D409" s="1">
        <v>0.45732667173552322</v>
      </c>
      <c r="E409" s="1">
        <v>15.685190550609606</v>
      </c>
      <c r="F409" s="1">
        <v>19.660029958945504</v>
      </c>
      <c r="G409" s="1">
        <v>2.9301929407398801</v>
      </c>
    </row>
    <row r="410" spans="4:7" x14ac:dyDescent="0.35">
      <c r="D410" s="1">
        <v>0.42204055890931735</v>
      </c>
      <c r="E410" s="1">
        <v>11.865637602671288</v>
      </c>
      <c r="F410" s="1">
        <v>21.319661138995677</v>
      </c>
      <c r="G410" s="1">
        <v>0.25145233933749189</v>
      </c>
    </row>
    <row r="411" spans="4:7" x14ac:dyDescent="0.35">
      <c r="D411" s="1">
        <v>0.51543534614924058</v>
      </c>
      <c r="E411" s="1">
        <v>14.935825091866674</v>
      </c>
      <c r="F411" s="1">
        <v>21.061195288674494</v>
      </c>
      <c r="G411" s="1">
        <v>0.86606929833940716</v>
      </c>
    </row>
    <row r="412" spans="4:7" x14ac:dyDescent="0.35">
      <c r="D412" s="1">
        <v>0.56508489961508102</v>
      </c>
      <c r="E412" s="1">
        <v>18.295440827221469</v>
      </c>
      <c r="F412" s="1">
        <v>18.396114333608118</v>
      </c>
      <c r="G412" s="1">
        <v>2.0314298839586784</v>
      </c>
    </row>
    <row r="413" spans="4:7" x14ac:dyDescent="0.35">
      <c r="D413" s="1">
        <v>0.50960889078399518</v>
      </c>
      <c r="E413" s="1">
        <v>16.405901189002051</v>
      </c>
      <c r="F413" s="1">
        <v>19.852045979399744</v>
      </c>
      <c r="G413" s="1">
        <v>2.1745019540557351</v>
      </c>
    </row>
    <row r="414" spans="4:7" x14ac:dyDescent="0.35">
      <c r="D414" s="1">
        <v>0.4645368461440611</v>
      </c>
      <c r="E414" s="1">
        <v>11.86208611613436</v>
      </c>
      <c r="F414" s="1">
        <v>18.185924013616923</v>
      </c>
      <c r="G414" s="1">
        <v>-0.56824161294218589</v>
      </c>
    </row>
    <row r="415" spans="4:7" x14ac:dyDescent="0.35">
      <c r="D415" s="1">
        <v>0.51265615781157448</v>
      </c>
      <c r="E415" s="1">
        <v>13.246453715965831</v>
      </c>
      <c r="F415" s="1">
        <v>20.122827906005973</v>
      </c>
      <c r="G415" s="1">
        <v>-0.40003038314539108</v>
      </c>
    </row>
    <row r="416" spans="4:7" x14ac:dyDescent="0.35">
      <c r="D416" s="1">
        <v>0.43067972925496834</v>
      </c>
      <c r="E416" s="1">
        <v>17.387674889850281</v>
      </c>
      <c r="F416" s="1">
        <v>20.981514906365923</v>
      </c>
      <c r="G416" s="1">
        <v>5.1767661992453435</v>
      </c>
    </row>
    <row r="417" spans="4:7" x14ac:dyDescent="0.35">
      <c r="D417" s="1">
        <v>0.45325066306553108</v>
      </c>
      <c r="E417" s="1">
        <v>15.205156644434803</v>
      </c>
      <c r="F417" s="1">
        <v>20.281631741541098</v>
      </c>
      <c r="G417" s="1">
        <v>2.6086858107782604</v>
      </c>
    </row>
    <row r="418" spans="4:7" x14ac:dyDescent="0.35">
      <c r="D418" s="1">
        <v>0.61466909999247399</v>
      </c>
      <c r="E418" s="1">
        <v>12.572924685169777</v>
      </c>
      <c r="F418" s="1">
        <v>19.183651007417001</v>
      </c>
      <c r="G418" s="1">
        <v>-3.0087512337185403</v>
      </c>
    </row>
    <row r="419" spans="4:7" x14ac:dyDescent="0.35">
      <c r="D419" s="1">
        <v>0.55321301058902228</v>
      </c>
      <c r="E419" s="1">
        <v>10.714305200747146</v>
      </c>
      <c r="F419" s="1">
        <v>19.429742617250756</v>
      </c>
      <c r="G419" s="1">
        <v>-3.1022342978927187</v>
      </c>
    </row>
    <row r="420" spans="4:7" x14ac:dyDescent="0.35">
      <c r="D420" s="1">
        <v>0.38707895274589021</v>
      </c>
      <c r="E420" s="1">
        <v>15.40238138503353</v>
      </c>
      <c r="F420" s="1">
        <v>19.348578878965249</v>
      </c>
      <c r="G420" s="1">
        <v>4.4338924548313638</v>
      </c>
    </row>
    <row r="421" spans="4:7" x14ac:dyDescent="0.35">
      <c r="D421" s="1">
        <v>0.44522402437517467</v>
      </c>
      <c r="E421" s="1">
        <v>16.223635469289786</v>
      </c>
      <c r="F421" s="1">
        <v>20.16039546598121</v>
      </c>
      <c r="G421" s="1">
        <v>3.7213863617569261</v>
      </c>
    </row>
    <row r="422" spans="4:7" x14ac:dyDescent="0.35">
      <c r="D422" s="1">
        <v>0.46950886817988025</v>
      </c>
      <c r="E422" s="1">
        <v>13.864389760674252</v>
      </c>
      <c r="F422" s="1">
        <v>21.395277160307963</v>
      </c>
      <c r="G422" s="1">
        <v>1.056459746219049</v>
      </c>
    </row>
    <row r="423" spans="4:7" x14ac:dyDescent="0.35">
      <c r="D423" s="1">
        <v>0.53869961084431661</v>
      </c>
      <c r="E423" s="1">
        <v>16.647644730080827</v>
      </c>
      <c r="F423" s="1">
        <v>17.582002054555321</v>
      </c>
      <c r="G423" s="1">
        <v>1.5821893259759368</v>
      </c>
    </row>
    <row r="424" spans="4:7" x14ac:dyDescent="0.35">
      <c r="D424" s="1">
        <v>0.4891660341730879</v>
      </c>
      <c r="E424" s="1">
        <v>14.63266977706204</v>
      </c>
      <c r="F424" s="1">
        <v>19.579267020566355</v>
      </c>
      <c r="G424" s="1">
        <v>1.2506819036049246</v>
      </c>
    </row>
    <row r="425" spans="4:7" x14ac:dyDescent="0.35">
      <c r="D425" s="1">
        <v>0.55640142242185642</v>
      </c>
      <c r="E425" s="1">
        <v>17.440671601138973</v>
      </c>
      <c r="F425" s="1">
        <v>20.117902268448098</v>
      </c>
      <c r="G425" s="1">
        <v>1.6746487207716483</v>
      </c>
    </row>
    <row r="426" spans="4:7" x14ac:dyDescent="0.35">
      <c r="D426" s="1">
        <v>0.53567605076639846</v>
      </c>
      <c r="E426" s="1">
        <v>15.915724045357791</v>
      </c>
      <c r="F426" s="1">
        <v>20.139927775733909</v>
      </c>
      <c r="G426" s="1">
        <v>1.1133293554005177</v>
      </c>
    </row>
    <row r="427" spans="4:7" x14ac:dyDescent="0.35">
      <c r="D427" s="1">
        <v>0.43661096246170156</v>
      </c>
      <c r="E427" s="1">
        <v>14.399407471101206</v>
      </c>
      <c r="F427" s="1">
        <v>20.233399879476544</v>
      </c>
      <c r="G427" s="1">
        <v>2.2832664288190263</v>
      </c>
    </row>
    <row r="428" spans="4:7" x14ac:dyDescent="0.35">
      <c r="D428" s="1">
        <v>0.48301598001192186</v>
      </c>
      <c r="E428" s="1">
        <v>12.974945283596041</v>
      </c>
      <c r="F428" s="1">
        <v>18.553851457236686</v>
      </c>
      <c r="G428" s="1">
        <v>8.5017483598230689E-3</v>
      </c>
    </row>
    <row r="429" spans="4:7" x14ac:dyDescent="0.35">
      <c r="D429" s="1">
        <v>0.51478138570565701</v>
      </c>
      <c r="E429" s="1">
        <v>14.386933807943009</v>
      </c>
      <c r="F429" s="1">
        <v>19.783303605132396</v>
      </c>
      <c r="G429" s="1">
        <v>0.45056838299774538</v>
      </c>
    </row>
    <row r="430" spans="4:7" x14ac:dyDescent="0.35">
      <c r="D430" s="1">
        <v>0.56303132656427024</v>
      </c>
      <c r="E430" s="1">
        <v>17.029793056630641</v>
      </c>
      <c r="F430" s="1">
        <v>18.878828291576788</v>
      </c>
      <c r="G430" s="1">
        <v>1.1966259346047632</v>
      </c>
    </row>
    <row r="431" spans="4:7" x14ac:dyDescent="0.35">
      <c r="D431" s="1">
        <v>0.58703161880509169</v>
      </c>
      <c r="E431" s="1">
        <v>13.748617234325124</v>
      </c>
      <c r="F431" s="1">
        <v>17.636043793401814</v>
      </c>
      <c r="G431" s="1">
        <v>-1.6597139872252404</v>
      </c>
    </row>
    <row r="432" spans="4:7" x14ac:dyDescent="0.35">
      <c r="D432" s="1">
        <v>0.52872120460021665</v>
      </c>
      <c r="E432" s="1">
        <v>14.402736713984654</v>
      </c>
      <c r="F432" s="1">
        <v>20.856190254256376</v>
      </c>
      <c r="G432" s="1">
        <v>0.13784136258311919</v>
      </c>
    </row>
    <row r="433" spans="4:7" x14ac:dyDescent="0.35">
      <c r="D433" s="1">
        <v>0.58623349874572328</v>
      </c>
      <c r="E433" s="1">
        <v>15.483272876679573</v>
      </c>
      <c r="F433" s="1">
        <v>21.422913216591329</v>
      </c>
      <c r="G433" s="1">
        <v>-0.4795758739375558</v>
      </c>
    </row>
    <row r="434" spans="4:7" x14ac:dyDescent="0.35">
      <c r="D434" s="1">
        <v>0.51676739355533552</v>
      </c>
      <c r="E434" s="1">
        <v>14.892663138369928</v>
      </c>
      <c r="F434" s="1">
        <v>19.38087635625881</v>
      </c>
      <c r="G434" s="1">
        <v>0.8000715655736097</v>
      </c>
    </row>
    <row r="435" spans="4:7" x14ac:dyDescent="0.35">
      <c r="D435" s="1">
        <v>0.4384763464711201</v>
      </c>
      <c r="E435" s="1">
        <v>14.638090851047455</v>
      </c>
      <c r="F435" s="1">
        <v>20.674436857026944</v>
      </c>
      <c r="G435" s="1">
        <v>2.4568192337683494</v>
      </c>
    </row>
    <row r="436" spans="4:7" x14ac:dyDescent="0.35">
      <c r="D436" s="1">
        <v>0.50395480914093305</v>
      </c>
      <c r="E436" s="1">
        <v>14.544816039539862</v>
      </c>
      <c r="F436" s="1">
        <v>20.87278602645825</v>
      </c>
      <c r="G436" s="1">
        <v>0.82965232740331107</v>
      </c>
    </row>
    <row r="437" spans="4:7" x14ac:dyDescent="0.35">
      <c r="D437" s="1">
        <v>0.48495348566390678</v>
      </c>
      <c r="E437" s="1">
        <v>14.731160884151297</v>
      </c>
      <c r="F437" s="1">
        <v>19.415174116956656</v>
      </c>
      <c r="G437" s="1">
        <v>1.4326598667801291</v>
      </c>
    </row>
    <row r="438" spans="4:7" x14ac:dyDescent="0.35">
      <c r="D438" s="1">
        <v>0.50908511989026051</v>
      </c>
      <c r="E438" s="1">
        <v>14.050233780249522</v>
      </c>
      <c r="F438" s="1">
        <v>19.833251745289989</v>
      </c>
      <c r="G438" s="1">
        <v>0.31560235274412629</v>
      </c>
    </row>
    <row r="439" spans="4:7" x14ac:dyDescent="0.35">
      <c r="D439" s="1">
        <v>0.47815045750024449</v>
      </c>
      <c r="E439" s="1">
        <v>14.767443342141954</v>
      </c>
      <c r="F439" s="1">
        <v>19.99841539200505</v>
      </c>
      <c r="G439" s="1">
        <v>1.6256213740757885</v>
      </c>
    </row>
    <row r="440" spans="4:7" x14ac:dyDescent="0.35">
      <c r="D440" s="1">
        <v>0.5075911513723399</v>
      </c>
      <c r="E440" s="1">
        <v>13.781278784519113</v>
      </c>
      <c r="F440" s="1">
        <v>19.065714544523274</v>
      </c>
      <c r="G440" s="1">
        <v>0.13511936114143241</v>
      </c>
    </row>
    <row r="441" spans="4:7" x14ac:dyDescent="0.35">
      <c r="D441" s="1">
        <v>0.44987378039308057</v>
      </c>
      <c r="E441" s="1">
        <v>12.365414086226117</v>
      </c>
      <c r="F441" s="1">
        <v>21.543508829136279</v>
      </c>
      <c r="G441" s="1">
        <v>0.16186484438241186</v>
      </c>
    </row>
    <row r="442" spans="4:7" x14ac:dyDescent="0.35">
      <c r="D442" s="1">
        <v>0.5042568811389091</v>
      </c>
      <c r="E442" s="1">
        <v>14.092424877150558</v>
      </c>
      <c r="F442" s="1">
        <v>19.812211421944625</v>
      </c>
      <c r="G442" s="1">
        <v>0.45933716374227185</v>
      </c>
    </row>
    <row r="443" spans="4:7" x14ac:dyDescent="0.35">
      <c r="D443" s="1">
        <v>0.41934929607900945</v>
      </c>
      <c r="E443" s="1">
        <v>17.438522448367053</v>
      </c>
      <c r="F443" s="1">
        <v>18.408222458447803</v>
      </c>
      <c r="G443" s="1">
        <v>5.5436337737182386</v>
      </c>
    </row>
    <row r="444" spans="4:7" x14ac:dyDescent="0.35">
      <c r="D444" s="1">
        <v>0.4001496728962981</v>
      </c>
      <c r="E444" s="1">
        <v>11.171687066745349</v>
      </c>
      <c r="F444" s="1">
        <v>21.315557329766197</v>
      </c>
      <c r="G444" s="1">
        <v>-2.0236079396055971E-3</v>
      </c>
    </row>
    <row r="445" spans="4:7" x14ac:dyDescent="0.35">
      <c r="D445" s="1">
        <v>0.54185048921900514</v>
      </c>
      <c r="E445" s="1">
        <v>18.010916360919399</v>
      </c>
      <c r="F445" s="1">
        <v>20.382058665422683</v>
      </c>
      <c r="G445" s="1">
        <v>2.508736864536099</v>
      </c>
    </row>
    <row r="446" spans="4:7" x14ac:dyDescent="0.35">
      <c r="D446" s="1">
        <v>0.49354639547446133</v>
      </c>
      <c r="E446" s="1">
        <v>12.550520662007695</v>
      </c>
      <c r="F446" s="1">
        <v>18.737694079141633</v>
      </c>
      <c r="G446" s="1">
        <v>-0.5608788458480185</v>
      </c>
    </row>
    <row r="447" spans="4:7" x14ac:dyDescent="0.35">
      <c r="D447" s="1">
        <v>0.53214671481478915</v>
      </c>
      <c r="E447" s="1">
        <v>17.077597515341875</v>
      </c>
      <c r="F447" s="1">
        <v>20.009243325775049</v>
      </c>
      <c r="G447" s="1">
        <v>2.0846242337982868</v>
      </c>
    </row>
    <row r="448" spans="4:7" x14ac:dyDescent="0.35">
      <c r="D448" s="1">
        <v>0.49290092188703977</v>
      </c>
      <c r="E448" s="1">
        <v>14.046980711101932</v>
      </c>
      <c r="F448" s="1">
        <v>19.410269233780475</v>
      </c>
      <c r="G448" s="1">
        <v>0.68118661787092749</v>
      </c>
    </row>
    <row r="449" spans="4:7" x14ac:dyDescent="0.35">
      <c r="D449" s="1">
        <v>0.52717169999461821</v>
      </c>
      <c r="E449" s="1">
        <v>16.93030004129</v>
      </c>
      <c r="F449" s="1">
        <v>20.670771562691741</v>
      </c>
      <c r="G449" s="1">
        <v>2.1094263446972401</v>
      </c>
    </row>
    <row r="450" spans="4:7" x14ac:dyDescent="0.35">
      <c r="D450" s="1">
        <v>0.50258795532427947</v>
      </c>
      <c r="E450" s="1">
        <v>15.506306789668034</v>
      </c>
      <c r="F450" s="1">
        <v>19.682997000572396</v>
      </c>
      <c r="G450" s="1">
        <v>1.6363750492695377</v>
      </c>
    </row>
    <row r="451" spans="4:7" x14ac:dyDescent="0.35">
      <c r="D451" s="1">
        <v>0.487031693308562</v>
      </c>
      <c r="E451" s="1">
        <v>17.429453860436972</v>
      </c>
      <c r="F451" s="1">
        <v>20.347632395472175</v>
      </c>
      <c r="G451" s="1">
        <v>3.6246618458912927</v>
      </c>
    </row>
    <row r="452" spans="4:7" x14ac:dyDescent="0.35">
      <c r="D452" s="1">
        <v>0.41339660046294713</v>
      </c>
      <c r="E452" s="1">
        <v>12.903673041058578</v>
      </c>
      <c r="F452" s="1">
        <v>19.877376371465971</v>
      </c>
      <c r="G452" s="1">
        <v>1.4036799795779449</v>
      </c>
    </row>
    <row r="453" spans="4:7" x14ac:dyDescent="0.35">
      <c r="D453" s="1">
        <v>0.5803493736031573</v>
      </c>
      <c r="E453" s="1">
        <v>15.562426895317298</v>
      </c>
      <c r="F453" s="1">
        <v>20.569435247321632</v>
      </c>
      <c r="G453" s="1">
        <v>-0.27823832927940106</v>
      </c>
    </row>
    <row r="454" spans="4:7" x14ac:dyDescent="0.35">
      <c r="D454" s="1">
        <v>0.49482485110066365</v>
      </c>
      <c r="E454" s="1">
        <v>18.489063959673548</v>
      </c>
      <c r="F454" s="1">
        <v>19.829971206702673</v>
      </c>
      <c r="G454" s="1">
        <v>4.2715753391519202</v>
      </c>
    </row>
    <row r="455" spans="4:7" x14ac:dyDescent="0.35">
      <c r="D455" s="1">
        <v>0.51324038842700925</v>
      </c>
      <c r="E455" s="1">
        <v>12.300990687752209</v>
      </c>
      <c r="F455" s="1">
        <v>20.318710099009152</v>
      </c>
      <c r="G455" s="1">
        <v>-1.1578683454975174</v>
      </c>
    </row>
    <row r="456" spans="4:7" x14ac:dyDescent="0.35">
      <c r="D456" s="1">
        <v>0.41670964156120061</v>
      </c>
      <c r="E456" s="1">
        <v>18.232789372551238</v>
      </c>
      <c r="F456" s="1">
        <v>19.560465633889219</v>
      </c>
      <c r="G456" s="1">
        <v>6.3684658084054862</v>
      </c>
    </row>
    <row r="457" spans="4:7" x14ac:dyDescent="0.35">
      <c r="D457" s="1">
        <v>0.44703989137285904</v>
      </c>
      <c r="E457" s="1">
        <v>16.520914509071325</v>
      </c>
      <c r="F457" s="1">
        <v>21.75143955819496</v>
      </c>
      <c r="G457" s="1">
        <v>3.9398918834502878</v>
      </c>
    </row>
    <row r="458" spans="4:7" x14ac:dyDescent="0.35">
      <c r="D458" s="1">
        <v>0.46065955244429613</v>
      </c>
      <c r="E458" s="1">
        <v>16.450201493401458</v>
      </c>
      <c r="F458" s="1">
        <v>19.264471443991017</v>
      </c>
      <c r="G458" s="1">
        <v>3.5137302465196725</v>
      </c>
    </row>
    <row r="459" spans="4:7" x14ac:dyDescent="0.35">
      <c r="D459" s="1">
        <v>0.46665543992414049</v>
      </c>
      <c r="E459" s="1">
        <v>14.701866794634363</v>
      </c>
      <c r="F459" s="1">
        <v>21.600413665702074</v>
      </c>
      <c r="G459" s="1">
        <v>1.8438898690584447</v>
      </c>
    </row>
    <row r="460" spans="4:7" x14ac:dyDescent="0.35">
      <c r="D460" s="1">
        <v>0.53892611600978801</v>
      </c>
      <c r="E460" s="1">
        <v>17.158259117802015</v>
      </c>
      <c r="F460" s="1">
        <v>20.44205713514754</v>
      </c>
      <c r="G460" s="1">
        <v>1.9573577294946045</v>
      </c>
    </row>
    <row r="461" spans="4:7" x14ac:dyDescent="0.35">
      <c r="D461" s="1">
        <v>0.52809864614021595</v>
      </c>
      <c r="E461" s="1">
        <v>15.058627511686524</v>
      </c>
      <c r="F461" s="1">
        <v>21.152119746921279</v>
      </c>
      <c r="G461" s="1">
        <v>0.65361621725864327</v>
      </c>
    </row>
    <row r="462" spans="4:7" x14ac:dyDescent="0.35">
      <c r="D462" s="1">
        <v>0.57606976089154638</v>
      </c>
      <c r="E462" s="1">
        <v>14.641091150652139</v>
      </c>
      <c r="F462" s="1">
        <v>19.258227804515165</v>
      </c>
      <c r="G462" s="1">
        <v>-0.80291807671721471</v>
      </c>
    </row>
    <row r="463" spans="4:7" x14ac:dyDescent="0.35">
      <c r="D463" s="1">
        <v>0.41716368341301652</v>
      </c>
      <c r="E463" s="1">
        <v>14.701991280611376</v>
      </c>
      <c r="F463" s="1">
        <v>20.111873486386369</v>
      </c>
      <c r="G463" s="1">
        <v>3.0223734002691409</v>
      </c>
    </row>
    <row r="464" spans="4:7" x14ac:dyDescent="0.35">
      <c r="D464" s="1">
        <v>0.57547386450631732</v>
      </c>
      <c r="E464" s="1">
        <v>13.904508799079041</v>
      </c>
      <c r="F464" s="1">
        <v>19.85237631977234</v>
      </c>
      <c r="G464" s="1">
        <v>-1.2951968825588192</v>
      </c>
    </row>
    <row r="465" spans="4:7" x14ac:dyDescent="0.35">
      <c r="D465" s="1">
        <v>0.58317761372814003</v>
      </c>
      <c r="E465" s="1">
        <v>17.622143512644787</v>
      </c>
      <c r="F465" s="1">
        <v>18.885109496052742</v>
      </c>
      <c r="G465" s="1">
        <v>1.040861093213886</v>
      </c>
    </row>
    <row r="466" spans="4:7" x14ac:dyDescent="0.35">
      <c r="D466" s="1">
        <v>0.5097507943254771</v>
      </c>
      <c r="E466" s="1">
        <v>17.189230567418921</v>
      </c>
      <c r="F466" s="1">
        <v>19.668421179586009</v>
      </c>
      <c r="G466" s="1">
        <v>2.7926540886304632</v>
      </c>
    </row>
    <row r="467" spans="4:7" x14ac:dyDescent="0.35">
      <c r="D467" s="1">
        <v>0.41506627181128575</v>
      </c>
      <c r="E467" s="1">
        <v>18.356404585548717</v>
      </c>
      <c r="F467" s="1">
        <v>19.376099102445966</v>
      </c>
      <c r="G467" s="1">
        <v>6.5340896246875468</v>
      </c>
    </row>
    <row r="468" spans="4:7" x14ac:dyDescent="0.35">
      <c r="D468" s="1">
        <v>0.53177448391593174</v>
      </c>
      <c r="E468" s="1">
        <v>16.104396730652883</v>
      </c>
      <c r="F468" s="1">
        <v>19.826828672962417</v>
      </c>
      <c r="G468" s="1">
        <v>1.356959675969263</v>
      </c>
    </row>
    <row r="469" spans="4:7" x14ac:dyDescent="0.35">
      <c r="D469" s="1">
        <v>0.61163298002019251</v>
      </c>
      <c r="E469" s="1">
        <v>14.68328885867156</v>
      </c>
      <c r="F469" s="1">
        <v>19.253211329387931</v>
      </c>
      <c r="G469" s="1">
        <v>-1.6196142158613334</v>
      </c>
    </row>
    <row r="470" spans="4:7" x14ac:dyDescent="0.35">
      <c r="D470" s="1">
        <v>0.60211988524025717</v>
      </c>
      <c r="E470" s="1">
        <v>14.546954380897533</v>
      </c>
      <c r="F470" s="1">
        <v>19.523914259188537</v>
      </c>
      <c r="G470" s="1">
        <v>-1.4812481149885559</v>
      </c>
    </row>
    <row r="471" spans="4:7" x14ac:dyDescent="0.35">
      <c r="D471" s="1">
        <v>0.45404718116817855</v>
      </c>
      <c r="E471" s="1">
        <v>14.068448149687992</v>
      </c>
      <c r="F471" s="1">
        <v>20.053915608019164</v>
      </c>
      <c r="G471" s="1">
        <v>1.5840418969022876</v>
      </c>
    </row>
    <row r="472" spans="4:7" x14ac:dyDescent="0.35">
      <c r="D472" s="1">
        <v>0.51751204420483798</v>
      </c>
      <c r="E472" s="1">
        <v>15.964383698933554</v>
      </c>
      <c r="F472" s="1">
        <v>18.777426271220055</v>
      </c>
      <c r="G472" s="1">
        <v>1.6195310130111849</v>
      </c>
    </row>
    <row r="473" spans="4:7" x14ac:dyDescent="0.35">
      <c r="D473" s="1">
        <v>0.56523358356190057</v>
      </c>
      <c r="E473" s="1">
        <v>16.13075986347387</v>
      </c>
      <c r="F473" s="1">
        <v>19.414637254430392</v>
      </c>
      <c r="G473" s="1">
        <v>0.50288490709882927</v>
      </c>
    </row>
    <row r="474" spans="4:7" x14ac:dyDescent="0.35">
      <c r="D474" s="1">
        <v>0.57801698289328007</v>
      </c>
      <c r="E474" s="1">
        <v>10.393686906575329</v>
      </c>
      <c r="F474" s="1">
        <v>21.529648494972655</v>
      </c>
      <c r="G474" s="1">
        <v>-3.751730208155335</v>
      </c>
    </row>
    <row r="475" spans="4:7" x14ac:dyDescent="0.35">
      <c r="D475" s="1">
        <v>0.56220825443710198</v>
      </c>
      <c r="E475" s="1">
        <v>16.177220074735438</v>
      </c>
      <c r="F475" s="1">
        <v>19.193859709684936</v>
      </c>
      <c r="G475" s="1">
        <v>0.61485678920018061</v>
      </c>
    </row>
    <row r="476" spans="4:7" x14ac:dyDescent="0.35">
      <c r="D476" s="1">
        <v>0.51865334016855436</v>
      </c>
      <c r="E476" s="1">
        <v>13.276528855879411</v>
      </c>
      <c r="F476" s="1">
        <v>20.643264399706528</v>
      </c>
      <c r="G476" s="1">
        <v>-0.50523945077782528</v>
      </c>
    </row>
    <row r="477" spans="4:7" x14ac:dyDescent="0.35">
      <c r="D477" s="1">
        <v>0.46007636532011348</v>
      </c>
      <c r="E477" s="1">
        <v>14.762976483441093</v>
      </c>
      <c r="F477" s="1">
        <v>18.556289406276107</v>
      </c>
      <c r="G477" s="1">
        <v>2.0539672387728505</v>
      </c>
    </row>
    <row r="478" spans="4:7" x14ac:dyDescent="0.35">
      <c r="D478" s="1">
        <v>0.45626951426787865</v>
      </c>
      <c r="E478" s="1">
        <v>15.634655506391908</v>
      </c>
      <c r="F478" s="1">
        <v>18.194920274673816</v>
      </c>
      <c r="G478" s="1">
        <v>2.9125475569505865</v>
      </c>
    </row>
    <row r="479" spans="4:7" x14ac:dyDescent="0.35">
      <c r="D479" s="1">
        <v>0.49756000647649601</v>
      </c>
      <c r="E479" s="1">
        <v>16.561500100360263</v>
      </c>
      <c r="F479" s="1">
        <v>21.244331141585565</v>
      </c>
      <c r="G479" s="1">
        <v>2.6212378769705036</v>
      </c>
    </row>
    <row r="480" spans="4:7" x14ac:dyDescent="0.35">
      <c r="D480" s="1">
        <v>0.5362974368802037</v>
      </c>
      <c r="E480" s="1">
        <v>13.03812836607219</v>
      </c>
      <c r="F480" s="1">
        <v>20.608434627649203</v>
      </c>
      <c r="G480" s="1">
        <v>-1.0636340509772291</v>
      </c>
    </row>
    <row r="481" spans="4:7" x14ac:dyDescent="0.35">
      <c r="D481" s="1">
        <v>0.47710388345968358</v>
      </c>
      <c r="E481" s="1">
        <v>16.134730888019767</v>
      </c>
      <c r="F481" s="1">
        <v>19.658817800617438</v>
      </c>
      <c r="G481" s="1">
        <v>2.8084949910909143</v>
      </c>
    </row>
    <row r="482" spans="4:7" x14ac:dyDescent="0.35">
      <c r="D482" s="1">
        <v>0.56849538905942376</v>
      </c>
      <c r="E482" s="1">
        <v>17.621337043323219</v>
      </c>
      <c r="F482" s="1">
        <v>19.590837446465631</v>
      </c>
      <c r="G482" s="1">
        <v>1.4593085593658977</v>
      </c>
    </row>
    <row r="483" spans="4:7" x14ac:dyDescent="0.35">
      <c r="D483" s="1">
        <v>0.56904814116362357</v>
      </c>
      <c r="E483" s="1">
        <v>14.665259321779388</v>
      </c>
      <c r="F483" s="1">
        <v>19.212229085775832</v>
      </c>
      <c r="G483" s="1">
        <v>-0.61956167912051641</v>
      </c>
    </row>
    <row r="484" spans="4:7" x14ac:dyDescent="0.35">
      <c r="D484" s="1">
        <v>0.5290124662780602</v>
      </c>
      <c r="E484" s="1">
        <v>13.743297032753805</v>
      </c>
      <c r="F484" s="1">
        <v>19.309281779372441</v>
      </c>
      <c r="G484" s="1">
        <v>-0.37194228986336109</v>
      </c>
    </row>
    <row r="485" spans="4:7" x14ac:dyDescent="0.35">
      <c r="D485" s="1">
        <v>0.41928814734185582</v>
      </c>
      <c r="E485" s="1">
        <v>14.443780871716264</v>
      </c>
      <c r="F485" s="1">
        <v>19.80112191451623</v>
      </c>
      <c r="G485" s="1">
        <v>2.7289569981465864</v>
      </c>
    </row>
    <row r="486" spans="4:7" x14ac:dyDescent="0.35">
      <c r="D486" s="1">
        <v>0.45238908804091255</v>
      </c>
      <c r="E486" s="1">
        <v>12.644475304370749</v>
      </c>
      <c r="F486" s="1">
        <v>20.642317649465372</v>
      </c>
      <c r="G486" s="1">
        <v>0.35897814255046195</v>
      </c>
    </row>
    <row r="487" spans="4:7" x14ac:dyDescent="0.35">
      <c r="D487" s="1">
        <v>0.46930649989207696</v>
      </c>
      <c r="E487" s="1">
        <v>10.937356780416543</v>
      </c>
      <c r="F487" s="1">
        <v>20.190400928273462</v>
      </c>
      <c r="G487" s="1">
        <v>-1.4546234657675496</v>
      </c>
    </row>
    <row r="488" spans="4:7" x14ac:dyDescent="0.35">
      <c r="D488" s="1">
        <v>0.6335271063721295</v>
      </c>
      <c r="E488" s="1">
        <v>18.65321191476594</v>
      </c>
      <c r="F488" s="1">
        <v>18.563967972407063</v>
      </c>
      <c r="G488" s="1">
        <v>0.21588743387796286</v>
      </c>
    </row>
    <row r="489" spans="4:7" x14ac:dyDescent="0.35">
      <c r="D489" s="1">
        <v>0.50669548666374953</v>
      </c>
      <c r="E489" s="1">
        <v>18.011944972430335</v>
      </c>
      <c r="F489" s="1">
        <v>20.892270996927312</v>
      </c>
      <c r="G489" s="1">
        <v>3.5349692264770498</v>
      </c>
    </row>
    <row r="490" spans="4:7" x14ac:dyDescent="0.35">
      <c r="D490" s="1">
        <v>0.5342719171550786</v>
      </c>
      <c r="E490" s="1">
        <v>14.071308430906344</v>
      </c>
      <c r="F490" s="1">
        <v>20.70046916923949</v>
      </c>
      <c r="G490" s="1">
        <v>-0.24160364148693428</v>
      </c>
    </row>
    <row r="491" spans="4:7" x14ac:dyDescent="0.35">
      <c r="D491" s="1">
        <v>0.4317294935217606</v>
      </c>
      <c r="E491" s="1">
        <v>15.856608860488652</v>
      </c>
      <c r="F491" s="1">
        <v>18.3496854703425</v>
      </c>
      <c r="G491" s="1">
        <v>3.7381640696194141</v>
      </c>
    </row>
    <row r="492" spans="4:7" x14ac:dyDescent="0.35">
      <c r="D492" s="1">
        <v>0.42002778579515904</v>
      </c>
      <c r="E492" s="1">
        <v>16.867731034741048</v>
      </c>
      <c r="F492" s="1">
        <v>20.626557651756087</v>
      </c>
      <c r="G492" s="1">
        <v>4.988355467509697</v>
      </c>
    </row>
    <row r="493" spans="4:7" x14ac:dyDescent="0.35">
      <c r="D493" s="1">
        <v>0.51707491253507276</v>
      </c>
      <c r="E493" s="1">
        <v>14.213976449458642</v>
      </c>
      <c r="F493" s="1">
        <v>19.940804582058938</v>
      </c>
      <c r="G493" s="1">
        <v>0.26186321884112701</v>
      </c>
    </row>
    <row r="494" spans="4:7" x14ac:dyDescent="0.35">
      <c r="D494" s="1">
        <v>0.54476717944246866</v>
      </c>
      <c r="E494" s="1">
        <v>16.488859123965184</v>
      </c>
      <c r="F494" s="1">
        <v>19.475652321020078</v>
      </c>
      <c r="G494" s="1">
        <v>1.3015417724896625</v>
      </c>
    </row>
    <row r="495" spans="4:7" x14ac:dyDescent="0.35">
      <c r="D495" s="1">
        <v>0.51091179831032896</v>
      </c>
      <c r="E495" s="1">
        <v>17.270789446906658</v>
      </c>
      <c r="F495" s="1">
        <v>20.155344821093561</v>
      </c>
      <c r="G495" s="1">
        <v>2.8249346768906478</v>
      </c>
    </row>
    <row r="496" spans="4:7" x14ac:dyDescent="0.35">
      <c r="D496" s="1">
        <v>0.58141027786274702</v>
      </c>
      <c r="E496" s="1">
        <v>11.41336573875272</v>
      </c>
      <c r="F496" s="1">
        <v>20.926746082927203</v>
      </c>
      <c r="G496" s="1">
        <v>-3.1176105400927994</v>
      </c>
    </row>
    <row r="497" spans="4:7" x14ac:dyDescent="0.35">
      <c r="D497" s="1">
        <v>0.58701924830161356</v>
      </c>
      <c r="E497" s="1">
        <v>14.566288138403896</v>
      </c>
      <c r="F497" s="1">
        <v>22.505688128923723</v>
      </c>
      <c r="G497" s="1">
        <v>-1.112569661562915</v>
      </c>
    </row>
    <row r="498" spans="4:7" x14ac:dyDescent="0.35">
      <c r="D498" s="1">
        <v>0.55361140864297076</v>
      </c>
      <c r="E498" s="1">
        <v>15.570204352900543</v>
      </c>
      <c r="F498" s="1">
        <v>20.328634459909509</v>
      </c>
      <c r="G498" s="1">
        <v>0.40126097083466505</v>
      </c>
    </row>
    <row r="499" spans="4:7" x14ac:dyDescent="0.35">
      <c r="D499" s="1">
        <v>0.54731715586561391</v>
      </c>
      <c r="E499" s="1">
        <v>14.425382885395667</v>
      </c>
      <c r="F499" s="1">
        <v>19.496674391859393</v>
      </c>
      <c r="G499" s="1">
        <v>-0.27930530988794966</v>
      </c>
    </row>
    <row r="500" spans="4:7" x14ac:dyDescent="0.35">
      <c r="D500" s="1">
        <v>0.50804655769878826</v>
      </c>
      <c r="E500" s="1">
        <v>13.529736608403159</v>
      </c>
      <c r="F500" s="1">
        <v>20.353478519552493</v>
      </c>
      <c r="G500" s="1">
        <v>-7.5450130821115582E-2</v>
      </c>
    </row>
    <row r="501" spans="4:7" x14ac:dyDescent="0.35">
      <c r="D501" s="1">
        <v>0.39010978890246945</v>
      </c>
      <c r="E501" s="1">
        <v>13.212275908699313</v>
      </c>
      <c r="F501" s="1">
        <v>18.970782814339898</v>
      </c>
      <c r="G501" s="1">
        <v>2.1951173514330335</v>
      </c>
    </row>
    <row r="502" spans="4:7" x14ac:dyDescent="0.35">
      <c r="D502" s="1">
        <v>0.52698868246422603</v>
      </c>
      <c r="E502" s="1">
        <v>16.584073518037119</v>
      </c>
      <c r="F502" s="1">
        <v>20.260645674417912</v>
      </c>
      <c r="G502" s="1">
        <v>1.8492240823105508</v>
      </c>
    </row>
    <row r="503" spans="4:7" x14ac:dyDescent="0.35">
      <c r="D503" s="1">
        <v>0.43187896369809464</v>
      </c>
      <c r="E503" s="1">
        <v>14.013686598793035</v>
      </c>
      <c r="F503" s="1">
        <v>19.807707939647702</v>
      </c>
      <c r="G503" s="1">
        <v>2.0387283320045126</v>
      </c>
    </row>
    <row r="504" spans="4:7" x14ac:dyDescent="0.35">
      <c r="D504" s="1">
        <v>0.46660246117127074</v>
      </c>
      <c r="E504" s="1">
        <v>15.101964615248878</v>
      </c>
      <c r="F504" s="1">
        <v>18.161368113302704</v>
      </c>
      <c r="G504" s="1">
        <v>2.1907658389708868</v>
      </c>
    </row>
    <row r="505" spans="4:7" x14ac:dyDescent="0.35">
      <c r="D505" s="1">
        <v>0.55303081665236231</v>
      </c>
      <c r="E505" s="1">
        <v>16.127070667212369</v>
      </c>
      <c r="F505" s="1">
        <v>20.619499561358232</v>
      </c>
      <c r="G505" s="1">
        <v>0.81899221135603362</v>
      </c>
    </row>
    <row r="506" spans="4:7" x14ac:dyDescent="0.35">
      <c r="D506" s="1">
        <v>0.44745193770339337</v>
      </c>
      <c r="E506" s="1">
        <v>13.38172911128064</v>
      </c>
      <c r="F506" s="1">
        <v>19.003718466721228</v>
      </c>
      <c r="G506" s="1">
        <v>1.1198018344056508</v>
      </c>
    </row>
    <row r="507" spans="4:7" x14ac:dyDescent="0.35">
      <c r="D507" s="1">
        <v>0.53625885387098793</v>
      </c>
      <c r="E507" s="1">
        <v>14.778384486050697</v>
      </c>
      <c r="F507" s="1">
        <v>21.356565321471948</v>
      </c>
      <c r="G507" s="1">
        <v>0.24414474356230897</v>
      </c>
    </row>
    <row r="508" spans="4:7" x14ac:dyDescent="0.35">
      <c r="D508" s="1">
        <v>0.55088169188878167</v>
      </c>
      <c r="E508" s="1">
        <v>16.640016450657761</v>
      </c>
      <c r="F508" s="1">
        <v>20.064024887763971</v>
      </c>
      <c r="G508" s="1">
        <v>1.2482062125702873</v>
      </c>
    </row>
    <row r="509" spans="4:7" x14ac:dyDescent="0.35">
      <c r="D509" s="1">
        <v>0.43632626767419203</v>
      </c>
      <c r="E509" s="1">
        <v>11.363408735206125</v>
      </c>
      <c r="F509" s="1">
        <v>20.155526590521323</v>
      </c>
      <c r="G509" s="1">
        <v>-0.4815267488068668</v>
      </c>
    </row>
    <row r="510" spans="4:7" x14ac:dyDescent="0.35">
      <c r="D510" s="1">
        <v>0.41304057579755438</v>
      </c>
      <c r="E510" s="1">
        <v>13.277692039319577</v>
      </c>
      <c r="F510" s="1">
        <v>18.354353058351141</v>
      </c>
      <c r="G510" s="1">
        <v>1.7666501890954127</v>
      </c>
    </row>
    <row r="511" spans="4:7" x14ac:dyDescent="0.35">
      <c r="D511" s="1">
        <v>0.46264722001853392</v>
      </c>
      <c r="E511" s="1">
        <v>18.390334855774441</v>
      </c>
      <c r="F511" s="1">
        <v>20.883434561890958</v>
      </c>
      <c r="G511" s="1">
        <v>5.1491408051673968</v>
      </c>
    </row>
    <row r="512" spans="4:7" x14ac:dyDescent="0.35">
      <c r="D512" s="1">
        <v>0.52576523296455857</v>
      </c>
      <c r="E512" s="1">
        <v>13.755256966516658</v>
      </c>
      <c r="F512" s="1">
        <v>20.407487278147826</v>
      </c>
      <c r="G512" s="1">
        <v>-0.29048337822364145</v>
      </c>
    </row>
    <row r="513" spans="4:7" x14ac:dyDescent="0.35">
      <c r="D513" s="1">
        <v>0.56011337157822072</v>
      </c>
      <c r="E513" s="1">
        <v>14.52227863136828</v>
      </c>
      <c r="F513" s="1">
        <v>20.869217034778444</v>
      </c>
      <c r="G513" s="1">
        <v>-0.5092179150195677</v>
      </c>
    </row>
    <row r="514" spans="4:7" x14ac:dyDescent="0.35">
      <c r="D514" s="1">
        <v>0.35734785796406376</v>
      </c>
      <c r="E514" s="1">
        <v>12.664779577043603</v>
      </c>
      <c r="F514" s="1">
        <v>20.925583831416656</v>
      </c>
      <c r="G514" s="1">
        <v>2.3263111754562744</v>
      </c>
    </row>
    <row r="515" spans="4:7" x14ac:dyDescent="0.35">
      <c r="D515" s="1">
        <v>0.39363791986570723</v>
      </c>
      <c r="E515" s="1">
        <v>12.671250189820221</v>
      </c>
      <c r="F515" s="1">
        <v>20.296097156193667</v>
      </c>
      <c r="G515" s="1">
        <v>1.5883443607525642</v>
      </c>
    </row>
    <row r="516" spans="4:7" x14ac:dyDescent="0.35">
      <c r="D516" s="1">
        <v>0.41658776750025744</v>
      </c>
      <c r="E516" s="1">
        <v>13.812208336540678</v>
      </c>
      <c r="F516" s="1">
        <v>20.271881887930903</v>
      </c>
      <c r="G516" s="1">
        <v>2.1953984252193055</v>
      </c>
    </row>
    <row r="517" spans="4:7" x14ac:dyDescent="0.35">
      <c r="D517" s="1">
        <v>0.55334275799257415</v>
      </c>
      <c r="E517" s="1">
        <v>16.596472104671346</v>
      </c>
      <c r="F517" s="1">
        <v>20.061686091035646</v>
      </c>
      <c r="G517" s="1">
        <v>1.1503872286462424</v>
      </c>
    </row>
    <row r="518" spans="4:7" x14ac:dyDescent="0.35">
      <c r="D518" s="1">
        <v>0.37515661126496219</v>
      </c>
      <c r="E518" s="1">
        <v>14.276504397636483</v>
      </c>
      <c r="F518" s="1">
        <v>18.435091540612849</v>
      </c>
      <c r="G518" s="1">
        <v>3.591983958198397</v>
      </c>
    </row>
    <row r="519" spans="4:7" x14ac:dyDescent="0.35">
      <c r="D519" s="1">
        <v>0.4567965804946813</v>
      </c>
      <c r="E519" s="1">
        <v>15.308536746444879</v>
      </c>
      <c r="F519" s="1">
        <v>21.674462804767661</v>
      </c>
      <c r="G519" s="1">
        <v>2.6123137556512646</v>
      </c>
    </row>
    <row r="520" spans="4:7" x14ac:dyDescent="0.35">
      <c r="D520" s="1">
        <v>0.56492735658458793</v>
      </c>
      <c r="E520" s="1">
        <v>14.110570998506597</v>
      </c>
      <c r="F520" s="1">
        <v>18.269867477418231</v>
      </c>
      <c r="G520" s="1">
        <v>-0.91252081459738676</v>
      </c>
    </row>
    <row r="521" spans="4:7" x14ac:dyDescent="0.35">
      <c r="D521" s="1">
        <v>0.49809009868189347</v>
      </c>
      <c r="E521" s="1">
        <v>15.403489230725651</v>
      </c>
      <c r="F521" s="1">
        <v>19.879670944547627</v>
      </c>
      <c r="G521" s="1">
        <v>1.6657523578569353</v>
      </c>
    </row>
    <row r="522" spans="4:7" x14ac:dyDescent="0.35">
      <c r="D522" s="1">
        <v>0.41270518414896507</v>
      </c>
      <c r="E522" s="1">
        <v>14.679842867934394</v>
      </c>
      <c r="F522" s="1">
        <v>21.062137915746245</v>
      </c>
      <c r="G522" s="1">
        <v>3.1074626309907378</v>
      </c>
    </row>
    <row r="523" spans="4:7" x14ac:dyDescent="0.35">
      <c r="D523" s="1">
        <v>0.50065021867990944</v>
      </c>
      <c r="E523" s="1">
        <v>15.129581678955974</v>
      </c>
      <c r="F523" s="1">
        <v>19.996497601261883</v>
      </c>
      <c r="G523" s="1">
        <v>1.3803835241395785</v>
      </c>
    </row>
    <row r="524" spans="4:7" x14ac:dyDescent="0.35">
      <c r="D524" s="1">
        <v>0.52407896041962665</v>
      </c>
      <c r="E524" s="1">
        <v>14.465446524088028</v>
      </c>
      <c r="F524" s="1">
        <v>19.27447729838094</v>
      </c>
      <c r="G524" s="1">
        <v>0.29445443441542862</v>
      </c>
    </row>
    <row r="525" spans="4:7" x14ac:dyDescent="0.35">
      <c r="D525" s="1">
        <v>0.4979607619714066</v>
      </c>
      <c r="E525" s="1">
        <v>15.531255805618423</v>
      </c>
      <c r="F525" s="1">
        <v>18.454187860213537</v>
      </c>
      <c r="G525" s="1">
        <v>1.7728582223253166</v>
      </c>
    </row>
    <row r="526" spans="4:7" x14ac:dyDescent="0.35">
      <c r="D526" s="1">
        <v>0.59638378409861459</v>
      </c>
      <c r="E526" s="1">
        <v>14.836265369648661</v>
      </c>
      <c r="F526" s="1">
        <v>20.157499619689467</v>
      </c>
      <c r="G526" s="1">
        <v>-1.1570070467862834</v>
      </c>
    </row>
    <row r="527" spans="4:7" x14ac:dyDescent="0.35">
      <c r="D527" s="1">
        <v>0.53780108905795387</v>
      </c>
      <c r="E527" s="1">
        <v>15.139825510819319</v>
      </c>
      <c r="F527" s="1">
        <v>18.982054087710434</v>
      </c>
      <c r="G527" s="1">
        <v>0.47778009835155866</v>
      </c>
    </row>
    <row r="528" spans="4:7" x14ac:dyDescent="0.35">
      <c r="D528" s="1">
        <v>0.49292446471779527</v>
      </c>
      <c r="E528" s="1">
        <v>14.798850444401856</v>
      </c>
      <c r="F528" s="1">
        <v>19.792363747395978</v>
      </c>
      <c r="G528" s="1">
        <v>1.2980844538658578</v>
      </c>
    </row>
    <row r="529" spans="4:7" x14ac:dyDescent="0.35">
      <c r="D529" s="1">
        <v>0.50700262981306976</v>
      </c>
      <c r="E529" s="1">
        <v>14.182983426541028</v>
      </c>
      <c r="F529" s="1">
        <v>21.039402970778301</v>
      </c>
      <c r="G529" s="1">
        <v>0.46897446221641759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MonteCarlo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12700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18501E-DE9C-4558-A356-3AFC47E9B748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7</vt:i4>
      </vt:variant>
    </vt:vector>
  </HeadingPairs>
  <TitlesOfParts>
    <vt:vector size="9" baseType="lpstr">
      <vt:lpstr>Forecast</vt:lpstr>
      <vt:lpstr>MonteCarlo</vt:lpstr>
      <vt:lpstr>Betreu_Mw</vt:lpstr>
      <vt:lpstr>Betreu_Sd</vt:lpstr>
      <vt:lpstr>Mat_Mw</vt:lpstr>
      <vt:lpstr>Mat_Sd</vt:lpstr>
      <vt:lpstr>UGA_Mw</vt:lpstr>
      <vt:lpstr>UGA_Sd</vt:lpstr>
      <vt:lpstr>Ziehanzahl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2017-09-16T16:47:52Z</dcterms:created>
  <dcterms:modified xsi:type="dcterms:W3CDTF">2020-01-17T14:50:01Z</dcterms:modified>
</cp:coreProperties>
</file>